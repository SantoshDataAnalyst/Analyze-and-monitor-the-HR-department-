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ocuments\Santosh Kannaujiya Excel work\excel homework\"/>
    </mc:Choice>
  </mc:AlternateContent>
  <xr:revisionPtr revIDLastSave="0" documentId="13_ncr:1_{3DDA003E-EEE9-4512-922C-8AE8EC8D0B5C}" xr6:coauthVersionLast="47" xr6:coauthVersionMax="47" xr10:uidLastSave="{00000000-0000-0000-0000-000000000000}"/>
  <workbookProtection workbookAlgorithmName="SHA-512" workbookHashValue="lWi08JDt/mEgFngrZ/ackskc5nVhA4J7ZfcIrgg1fEmt+GdWfVfGEGvd2Zgh4TCCBdaX/M8AoQ3rJdq7WDFuhQ==" workbookSaltValue="q+koPtSH1DSPpHxDqGqR5A==" workbookSpinCount="100000" lockStructure="1"/>
  <bookViews>
    <workbookView xWindow="-108" yWindow="-108" windowWidth="23256" windowHeight="12456" tabRatio="263" xr2:uid="{408BA6AB-5196-496B-9C80-B057CC378CDA}"/>
  </bookViews>
  <sheets>
    <sheet name="Dashbord" sheetId="2" r:id="rId1"/>
    <sheet name="Pivot Table " sheetId="3" r:id="rId2"/>
    <sheet name="Raw Data" sheetId="1"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13" i="3" l="1"/>
  <c r="Z14" i="3"/>
  <c r="Z15" i="3"/>
  <c r="Z16" i="3"/>
  <c r="Z12" i="3"/>
  <c r="W13" i="3"/>
  <c r="W14" i="3"/>
  <c r="W15" i="3"/>
  <c r="W16" i="3"/>
  <c r="W12" i="3"/>
  <c r="T13" i="3"/>
  <c r="T14" i="3"/>
  <c r="T15" i="3"/>
  <c r="T16" i="3"/>
  <c r="T12" i="3"/>
  <c r="O11" i="3"/>
  <c r="O12" i="3"/>
  <c r="O10" i="3"/>
  <c r="J21" i="3"/>
  <c r="J17" i="3"/>
  <c r="J16" i="3"/>
  <c r="J20" i="3"/>
  <c r="J15" i="3"/>
  <c r="J14" i="3"/>
  <c r="J13" i="3"/>
  <c r="P12" i="3"/>
  <c r="C11" i="3"/>
  <c r="P10" i="3"/>
  <c r="C12" i="3"/>
  <c r="C10" i="3"/>
  <c r="P11" i="3"/>
  <c r="G14" i="3"/>
  <c r="F13" i="3"/>
  <c r="G13" i="3"/>
  <c r="F14" i="3"/>
  <c r="G16" i="3"/>
  <c r="G12" i="3"/>
  <c r="F15" i="3"/>
  <c r="F16" i="3"/>
  <c r="G15" i="3"/>
  <c r="F12" i="3"/>
  <c r="W17" i="3" l="1"/>
  <c r="T17" i="3"/>
  <c r="Z17" i="3"/>
  <c r="G17" i="3"/>
  <c r="Q10" i="3"/>
  <c r="Q11" i="3"/>
  <c r="C13" i="3"/>
  <c r="J18" i="3"/>
  <c r="F17" i="3"/>
  <c r="Q12" i="3"/>
  <c r="O13" i="3"/>
  <c r="K20" i="3"/>
  <c r="K21" i="3"/>
  <c r="L21" i="3" l="1"/>
  <c r="L20" i="3"/>
</calcChain>
</file>

<file path=xl/sharedStrings.xml><?xml version="1.0" encoding="utf-8"?>
<sst xmlns="http://schemas.openxmlformats.org/spreadsheetml/2006/main" count="871" uniqueCount="229">
  <si>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</si>
  <si>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</si>
  <si>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</si>
  <si>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</si>
  <si>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</si>
  <si>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</si>
  <si>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</si>
  <si>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</si>
  <si>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</si>
  <si>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</si>
  <si>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</si>
  <si>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</si>
  <si>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</si>
  <si>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</si>
  <si>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</si>
  <si>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</si>
  <si>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</si>
  <si>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</si>
  <si>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</si>
  <si>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</si>
  <si>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</si>
  <si>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</si>
  <si>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</si>
  <si>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</si>
  <si>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</si>
  <si>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</si>
  <si>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</si>
  <si>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</si>
  <si>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</si>
  <si>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</si>
  <si>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</si>
  <si>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</si>
  <si>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</si>
  <si>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</si>
  <si>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</si>
  <si>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</si>
  <si>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</si>
  <si>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</si>
  <si>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</si>
  <si>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</si>
  <si>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</si>
  <si>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</si>
  <si>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</si>
  <si>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</si>
  <si>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</si>
  <si>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</si>
  <si>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</si>
  <si>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</si>
  <si>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</si>
  <si>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</si>
  <si>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</si>
  <si>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</si>
  <si>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</si>
  <si>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</si>
  <si>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</si>
  <si>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</si>
  <si>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</si>
  <si>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</si>
  <si>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</si>
  <si>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</si>
  <si>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</si>
  <si>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</si>
  <si>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</si>
  <si>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</si>
  <si>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</si>
  <si>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</si>
  <si>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</si>
  <si>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</si>
  <si>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</si>
  <si>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</si>
  <si>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</si>
  <si>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</si>
  <si>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</si>
  <si>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</si>
  <si>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</si>
  <si>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</si>
  <si>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</si>
  <si>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</si>
  <si>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</si>
  <si>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</si>
  <si>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</si>
  <si>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</si>
  <si>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</si>
  <si>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</si>
  <si>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</si>
  <si>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</si>
  <si>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</si>
  <si>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</si>
  <si>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</si>
  <si>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</si>
  <si>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</si>
  <si>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</si>
  <si>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</si>
  <si>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</si>
  <si>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</si>
  <si>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</si>
  <si>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</si>
  <si>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</si>
  <si>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</si>
  <si>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</si>
  <si>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</si>
  <si>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</si>
  <si>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</si>
  <si>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</si>
  <si>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</si>
  <si>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</si>
  <si>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</si>
  <si>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</si>
  <si>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</si>
  <si>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</si>
  <si>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</si>
  <si>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</si>
  <si>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</si>
  <si>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</si>
  <si>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</si>
  <si>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</si>
  <si>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</si>
  <si>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</si>
  <si>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</si>
  <si>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</si>
  <si>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</si>
  <si>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</si>
  <si>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</si>
  <si>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</si>
  <si>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</si>
  <si>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</si>
  <si>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</si>
  <si>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</si>
  <si>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</si>
  <si>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</si>
  <si>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</si>
  <si>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</si>
  <si>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</si>
  <si>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</si>
  <si>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</si>
  <si>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</si>
  <si>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</si>
  <si>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</si>
  <si>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</si>
  <si>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</si>
  <si>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</si>
  <si>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</si>
  <si>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</si>
  <si>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</si>
  <si>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</si>
  <si>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</si>
  <si>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</si>
  <si>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</si>
  <si>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</si>
  <si>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</si>
  <si>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</si>
  <si>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</si>
  <si>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</si>
  <si>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</si>
  <si>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</si>
  <si>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</si>
  <si>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</si>
  <si>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</si>
  <si>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</si>
  <si>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</si>
  <si>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</si>
  <si>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</si>
  <si>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</si>
  <si>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</si>
  <si>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</si>
  <si>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</si>
  <si>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</si>
  <si>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</si>
  <si>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</si>
  <si>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</si>
  <si>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</si>
  <si>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</si>
  <si>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</si>
  <si>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</si>
  <si>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</si>
  <si>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</si>
  <si>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</si>
  <si>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</si>
  <si>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</si>
  <si>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</si>
  <si>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</si>
  <si>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</si>
  <si>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</si>
  <si>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</si>
  <si>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</si>
  <si>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</si>
  <si>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</si>
  <si>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</si>
  <si>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</si>
  <si>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</si>
  <si>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</si>
  <si>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</si>
  <si>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</si>
  <si>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</si>
  <si>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</si>
  <si>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</si>
  <si>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</si>
  <si>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</si>
  <si>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</si>
  <si>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</si>
  <si>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</si>
  <si>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</si>
  <si>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</si>
  <si>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</si>
  <si>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</si>
  <si>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</si>
  <si>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</si>
  <si>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</si>
  <si>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</si>
  <si>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</si>
  <si>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</si>
  <si>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</si>
  <si>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</si>
  <si>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</si>
  <si>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</si>
  <si>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</si>
  <si>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Column Labels</t>
  </si>
  <si>
    <t>Count of Full Name</t>
  </si>
  <si>
    <t>Number of employees to employment states</t>
  </si>
  <si>
    <t>Total</t>
  </si>
  <si>
    <t>Sum of Salary</t>
  </si>
  <si>
    <t>Salary to Depertments</t>
  </si>
  <si>
    <t>Age range to gender</t>
  </si>
  <si>
    <t xml:space="preserve">Male </t>
  </si>
  <si>
    <t>Workplace</t>
  </si>
  <si>
    <t>Sum of Leave Taken</t>
  </si>
  <si>
    <t>Regions</t>
  </si>
  <si>
    <t>Average of Performance Rating</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</si>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</sst>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1">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1"/>
      <name val="Aptos Narrow"/>
      <family val="2"/>
      <scheme val="minor"/>
    </font>
    <font>
      <b/>
      <sz val="14"/>
      <color theme="0"/>
      <name val="Aptos Narrow"/>
      <family val="2"/>
      <scheme val="minor"/>
    </font>
    <font>
      <b/>
      <sz val="16"/>
      <color theme="0"/>
      <name val="Aptos Narrow"/>
      <family val="2"/>
      <scheme val="minor"/>
    </font>
    <font>
      <b/>
      <sz val="20"/>
      <color theme="0"/>
      <name val="Aptos Narrow"/>
      <family val="2"/>
      <scheme val="minor"/>
    </font>
    <font>
      <b/>
      <sz val="22"/>
      <color theme="0"/>
      <name val="Aptos Narrow"/>
      <family val="2"/>
      <scheme val="minor"/>
    </font>
    <font>
      <sz val="11"/>
      <color theme="2"/>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9" fontId="4" fillId="0" borderId="0" applyFont="0" applyFill="0" applyBorder="0" applyAlignment="0" applyProtection="0"/>
  </cellStyleXfs>
  <cellXfs count="22">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6" fillId="2" borderId="0" xfId="0" applyFont="1" applyFill="1" applyAlignment="1">
      <alignment horizontal="center" vertical="center"/>
    </xf>
    <xf numFmtId="0" fontId="0" fillId="0" borderId="0" xfId="0" applyAlignment="1">
      <alignment horizontal="center"/>
    </xf>
    <xf numFmtId="0" fontId="0" fillId="0" borderId="0" xfId="0" pivotButton="1" applyAlignment="1">
      <alignment horizontal="center"/>
    </xf>
    <xf numFmtId="10" fontId="5" fillId="0" borderId="0" xfId="0" applyNumberFormat="1" applyFont="1"/>
    <xf numFmtId="9" fontId="0" fillId="0" borderId="0" xfId="1" applyFont="1"/>
    <xf numFmtId="9" fontId="0" fillId="0" borderId="0" xfId="0" applyNumberFormat="1"/>
    <xf numFmtId="164" fontId="0" fillId="0" borderId="0" xfId="0" applyNumberFormat="1" applyAlignment="1">
      <alignment horizontal="center"/>
    </xf>
    <xf numFmtId="164" fontId="0" fillId="0" borderId="0" xfId="0" applyNumberFormat="1"/>
    <xf numFmtId="164" fontId="5" fillId="0" borderId="0" xfId="0" applyNumberFormat="1" applyFont="1"/>
    <xf numFmtId="0" fontId="10" fillId="2" borderId="0" xfId="0" applyFont="1" applyFill="1"/>
    <xf numFmtId="0" fontId="0" fillId="2" borderId="0" xfId="0" applyFill="1"/>
    <xf numFmtId="0" fontId="9" fillId="3" borderId="0" xfId="0" applyFont="1" applyFill="1" applyAlignment="1">
      <alignment horizontal="center"/>
    </xf>
    <xf numFmtId="0" fontId="6" fillId="2" borderId="0" xfId="0" applyFont="1" applyFill="1" applyAlignment="1">
      <alignment horizontal="center" vertical="center"/>
    </xf>
    <xf numFmtId="0" fontId="7" fillId="2" borderId="0" xfId="0" applyFont="1" applyFill="1" applyAlignment="1">
      <alignment horizontal="center"/>
    </xf>
    <xf numFmtId="0" fontId="8" fillId="2" borderId="0" xfId="0" applyFont="1" applyFill="1" applyAlignment="1">
      <alignment horizontal="center"/>
    </xf>
    <xf numFmtId="0" fontId="8" fillId="3" borderId="0" xfId="0" applyFont="1" applyFill="1" applyAlignment="1">
      <alignment horizontal="center"/>
    </xf>
  </cellXfs>
  <cellStyles count="2">
    <cellStyle name="Normal" xfId="0" builtinId="0"/>
    <cellStyle name="Percent" xfId="1" builtinId="5"/>
  </cellStyles>
  <dxfs count="31">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alignment horizontal="center"/>
    </dxf>
    <dxf>
      <numFmt numFmtId="164" formatCode="0.0"/>
    </dxf>
    <dxf>
      <alignment horizontal="center"/>
    </dxf>
    <dxf>
      <alignment horizontal="center"/>
    </dxf>
    <dxf>
      <alignment horizontal="center"/>
    </dxf>
    <dxf>
      <alignment horizontal="center"/>
    </dxf>
    <dxf>
      <font>
        <color theme="1"/>
      </font>
    </dxf>
    <dxf>
      <font>
        <b/>
        <i val="0"/>
        <sz val="10"/>
        <color rgb="FFE5B244"/>
        <name val="Nirmala Text"/>
        <family val="2"/>
        <scheme val="none"/>
      </font>
      <fill>
        <patternFill>
          <fgColor rgb="FF1F1F1F"/>
          <bgColor theme="1"/>
        </patternFill>
      </fill>
    </dxf>
  </dxfs>
  <tableStyles count="1" defaultTableStyle="TableStyleMedium2" defaultPivotStyle="PivotStyleLight16">
    <tableStyle name="Slicer Style 1" pivot="0" table="0" count="2" xr9:uid="{58DC0710-565E-4234-9059-0F9AF610EEE0}">
      <tableStyleElement type="wholeTable" dxfId="30"/>
      <tableStyleElement type="headerRow" dxfId="29"/>
    </tableStyle>
  </tableStyles>
  <colors>
    <mruColors>
      <color rgb="FFFFCC00"/>
      <color rgb="FFE5B244"/>
      <color rgb="FF1F1F1F"/>
      <color rgb="FF948A54"/>
      <color rgb="FF77933C"/>
      <color rgb="FF28282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4"/>
          <c:dPt>
            <c:idx val="0"/>
            <c:bubble3D val="0"/>
            <c:spPr>
              <a:solidFill>
                <a:srgbClr val="E5B244"/>
              </a:solidFill>
              <a:ln w="19050">
                <a:solidFill>
                  <a:schemeClr val="lt1"/>
                </a:solidFill>
              </a:ln>
              <a:effectLst/>
            </c:spPr>
            <c:extLst>
              <c:ext xmlns:c16="http://schemas.microsoft.com/office/drawing/2014/chart" uri="{C3380CC4-5D6E-409C-BE32-E72D297353CC}">
                <c16:uniqueId val="{00000001-C947-45C8-B0B4-29B8DA90A8AA}"/>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C947-45C8-B0B4-29B8DA90A8AA}"/>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C947-45C8-B0B4-29B8DA90A8AA}"/>
              </c:ext>
            </c:extLst>
          </c:dPt>
          <c:cat>
            <c:strRef>
              <c:f>'Pivot Table '!$B$10:$B$12</c:f>
              <c:strCache>
                <c:ptCount val="3"/>
                <c:pt idx="0">
                  <c:v>Contract</c:v>
                </c:pt>
                <c:pt idx="1">
                  <c:v>Full-Time</c:v>
                </c:pt>
                <c:pt idx="2">
                  <c:v>Part-Time</c:v>
                </c:pt>
              </c:strCache>
            </c:strRef>
          </c:cat>
          <c:val>
            <c:numRef>
              <c:f>'Pivot Table '!$C$10:$C$12</c:f>
              <c:numCache>
                <c:formatCode>General</c:formatCode>
                <c:ptCount val="3"/>
                <c:pt idx="0">
                  <c:v>8</c:v>
                </c:pt>
                <c:pt idx="1">
                  <c:v>8</c:v>
                </c:pt>
                <c:pt idx="2">
                  <c:v>8</c:v>
                </c:pt>
              </c:numCache>
            </c:numRef>
          </c:val>
          <c:extLst>
            <c:ext xmlns:c16="http://schemas.microsoft.com/office/drawing/2014/chart" uri="{C3380CC4-5D6E-409C-BE32-E72D297353CC}">
              <c16:uniqueId val="{00000006-C947-45C8-B0B4-29B8DA90A8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dashbord . data.xlsx]Pivot Table !Age Range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'!$J$4:$J$5</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'!$I$6:$I$11</c:f>
              <c:strCache>
                <c:ptCount val="5"/>
                <c:pt idx="0">
                  <c:v>18-25</c:v>
                </c:pt>
                <c:pt idx="1">
                  <c:v>26-35</c:v>
                </c:pt>
                <c:pt idx="2">
                  <c:v>36-45</c:v>
                </c:pt>
                <c:pt idx="3">
                  <c:v>46-55</c:v>
                </c:pt>
                <c:pt idx="4">
                  <c:v>56 &lt;</c:v>
                </c:pt>
              </c:strCache>
            </c:strRef>
          </c:cat>
          <c:val>
            <c:numRef>
              <c:f>'Pivot Table '!$J$6:$J$11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8166-4EA3-AB31-FF02F054E1EF}"/>
            </c:ext>
          </c:extLst>
        </c:ser>
        <c:ser>
          <c:idx val="1"/>
          <c:order val="1"/>
          <c:tx>
            <c:strRef>
              <c:f>'Pivot Table '!$K$4:$K$5</c:f>
              <c:strCache>
                <c:ptCount val="1"/>
                <c:pt idx="0">
                  <c:v>Male</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'!$I$6:$I$11</c:f>
              <c:strCache>
                <c:ptCount val="5"/>
                <c:pt idx="0">
                  <c:v>18-25</c:v>
                </c:pt>
                <c:pt idx="1">
                  <c:v>26-35</c:v>
                </c:pt>
                <c:pt idx="2">
                  <c:v>36-45</c:v>
                </c:pt>
                <c:pt idx="3">
                  <c:v>46-55</c:v>
                </c:pt>
                <c:pt idx="4">
                  <c:v>56 &lt;</c:v>
                </c:pt>
              </c:strCache>
            </c:strRef>
          </c:cat>
          <c:val>
            <c:numRef>
              <c:f>'Pivot Table '!$K$6:$K$11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8166-4EA3-AB31-FF02F054E1EF}"/>
            </c:ext>
          </c:extLst>
        </c:ser>
        <c:dLbls>
          <c:showLegendKey val="0"/>
          <c:showVal val="0"/>
          <c:showCatName val="0"/>
          <c:showSerName val="0"/>
          <c:showPercent val="0"/>
          <c:showBubbleSize val="0"/>
        </c:dLbls>
        <c:gapWidth val="219"/>
        <c:overlap val="-27"/>
        <c:axId val="216999824"/>
        <c:axId val="217002224"/>
      </c:barChart>
      <c:catAx>
        <c:axId val="21699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7002224"/>
        <c:crosses val="autoZero"/>
        <c:auto val="1"/>
        <c:lblAlgn val="ctr"/>
        <c:lblOffset val="100"/>
        <c:noMultiLvlLbl val="0"/>
      </c:catAx>
      <c:valAx>
        <c:axId val="217002224"/>
        <c:scaling>
          <c:orientation val="minMax"/>
        </c:scaling>
        <c:delete val="1"/>
        <c:axPos val="l"/>
        <c:majorGridlines>
          <c:spPr>
            <a:ln w="9525" cap="flat" cmpd="sng" algn="ctr">
              <a:solidFill>
                <a:schemeClr val="tx1">
                  <a:lumMod val="15000"/>
                  <a:lumOff val="85000"/>
                  <a:alpha val="35000"/>
                </a:schemeClr>
              </a:solidFill>
              <a:prstDash val="dashDot"/>
              <a:round/>
            </a:ln>
            <a:effectLst/>
          </c:spPr>
        </c:majorGridlines>
        <c:numFmt formatCode="General" sourceLinked="1"/>
        <c:majorTickMark val="none"/>
        <c:minorTickMark val="none"/>
        <c:tickLblPos val="nextTo"/>
        <c:crossAx val="21699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 '!$P$10</c:f>
              <c:numCache>
                <c:formatCode>0%</c:formatCode>
                <c:ptCount val="1"/>
                <c:pt idx="0">
                  <c:v>0.5</c:v>
                </c:pt>
              </c:numCache>
            </c:numRef>
          </c:val>
          <c:extLst>
            <c:ext xmlns:c16="http://schemas.microsoft.com/office/drawing/2014/chart" uri="{C3380CC4-5D6E-409C-BE32-E72D297353CC}">
              <c16:uniqueId val="{00000000-5B8A-48F9-9299-3BD1C9239CB2}"/>
            </c:ext>
          </c:extLst>
        </c:ser>
        <c:ser>
          <c:idx val="1"/>
          <c:order val="1"/>
          <c:spPr>
            <a:solidFill>
              <a:srgbClr val="1F1F1F"/>
            </a:solidFill>
            <a:ln>
              <a:noFill/>
            </a:ln>
            <a:effectLst/>
          </c:spPr>
          <c:invertIfNegative val="0"/>
          <c:val>
            <c:numRef>
              <c:f>'Pivot Table '!$Q$10</c:f>
              <c:numCache>
                <c:formatCode>0%</c:formatCode>
                <c:ptCount val="1"/>
                <c:pt idx="0">
                  <c:v>0.5</c:v>
                </c:pt>
              </c:numCache>
            </c:numRef>
          </c:val>
          <c:extLst>
            <c:ext xmlns:c16="http://schemas.microsoft.com/office/drawing/2014/chart" uri="{C3380CC4-5D6E-409C-BE32-E72D297353CC}">
              <c16:uniqueId val="{00000001-5B8A-48F9-9299-3BD1C9239CB2}"/>
            </c:ext>
          </c:extLst>
        </c:ser>
        <c:dLbls>
          <c:showLegendKey val="0"/>
          <c:showVal val="0"/>
          <c:showCatName val="0"/>
          <c:showSerName val="0"/>
          <c:showPercent val="0"/>
          <c:showBubbleSize val="0"/>
        </c:dLbls>
        <c:gapWidth val="150"/>
        <c:overlap val="100"/>
        <c:axId val="481154272"/>
        <c:axId val="481161472"/>
      </c:barChart>
      <c:catAx>
        <c:axId val="481154272"/>
        <c:scaling>
          <c:orientation val="minMax"/>
        </c:scaling>
        <c:delete val="1"/>
        <c:axPos val="l"/>
        <c:majorTickMark val="none"/>
        <c:minorTickMark val="none"/>
        <c:tickLblPos val="nextTo"/>
        <c:crossAx val="481161472"/>
        <c:crosses val="autoZero"/>
        <c:auto val="1"/>
        <c:lblAlgn val="ctr"/>
        <c:lblOffset val="100"/>
        <c:noMultiLvlLbl val="0"/>
      </c:catAx>
      <c:valAx>
        <c:axId val="481161472"/>
        <c:scaling>
          <c:orientation val="minMax"/>
        </c:scaling>
        <c:delete val="1"/>
        <c:axPos val="b"/>
        <c:numFmt formatCode="0%" sourceLinked="1"/>
        <c:majorTickMark val="none"/>
        <c:minorTickMark val="none"/>
        <c:tickLblPos val="nextTo"/>
        <c:crossAx val="48115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 '!$P$11</c:f>
              <c:numCache>
                <c:formatCode>0%</c:formatCode>
                <c:ptCount val="1"/>
                <c:pt idx="0">
                  <c:v>8.3333333333333329E-2</c:v>
                </c:pt>
              </c:numCache>
            </c:numRef>
          </c:val>
          <c:extLst>
            <c:ext xmlns:c16="http://schemas.microsoft.com/office/drawing/2014/chart" uri="{C3380CC4-5D6E-409C-BE32-E72D297353CC}">
              <c16:uniqueId val="{00000000-0DA1-4D7B-A2E8-F51D9E161EE6}"/>
            </c:ext>
          </c:extLst>
        </c:ser>
        <c:ser>
          <c:idx val="1"/>
          <c:order val="1"/>
          <c:spPr>
            <a:solidFill>
              <a:srgbClr val="1F1F1F"/>
            </a:solidFill>
            <a:ln>
              <a:noFill/>
            </a:ln>
            <a:effectLst/>
          </c:spPr>
          <c:invertIfNegative val="0"/>
          <c:val>
            <c:numRef>
              <c:f>'Pivot Table '!$Q$11</c:f>
              <c:numCache>
                <c:formatCode>0%</c:formatCode>
                <c:ptCount val="1"/>
                <c:pt idx="0">
                  <c:v>0.91666666666666663</c:v>
                </c:pt>
              </c:numCache>
            </c:numRef>
          </c:val>
          <c:extLst>
            <c:ext xmlns:c16="http://schemas.microsoft.com/office/drawing/2014/chart" uri="{C3380CC4-5D6E-409C-BE32-E72D297353CC}">
              <c16:uniqueId val="{00000001-0DA1-4D7B-A2E8-F51D9E161EE6}"/>
            </c:ext>
          </c:extLst>
        </c:ser>
        <c:dLbls>
          <c:showLegendKey val="0"/>
          <c:showVal val="0"/>
          <c:showCatName val="0"/>
          <c:showSerName val="0"/>
          <c:showPercent val="0"/>
          <c:showBubbleSize val="0"/>
        </c:dLbls>
        <c:gapWidth val="150"/>
        <c:overlap val="100"/>
        <c:axId val="481123552"/>
        <c:axId val="481135072"/>
      </c:barChart>
      <c:catAx>
        <c:axId val="481123552"/>
        <c:scaling>
          <c:orientation val="minMax"/>
        </c:scaling>
        <c:delete val="1"/>
        <c:axPos val="l"/>
        <c:majorTickMark val="none"/>
        <c:minorTickMark val="none"/>
        <c:tickLblPos val="nextTo"/>
        <c:crossAx val="481135072"/>
        <c:crosses val="autoZero"/>
        <c:auto val="1"/>
        <c:lblAlgn val="ctr"/>
        <c:lblOffset val="100"/>
        <c:noMultiLvlLbl val="0"/>
      </c:catAx>
      <c:valAx>
        <c:axId val="481135072"/>
        <c:scaling>
          <c:orientation val="minMax"/>
        </c:scaling>
        <c:delete val="1"/>
        <c:axPos val="b"/>
        <c:numFmt formatCode="0%" sourceLinked="1"/>
        <c:majorTickMark val="none"/>
        <c:minorTickMark val="none"/>
        <c:tickLblPos val="nextTo"/>
        <c:crossAx val="4811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 '!$P$12</c:f>
              <c:numCache>
                <c:formatCode>0%</c:formatCode>
                <c:ptCount val="1"/>
                <c:pt idx="0">
                  <c:v>0.41666666666666669</c:v>
                </c:pt>
              </c:numCache>
            </c:numRef>
          </c:val>
          <c:extLst>
            <c:ext xmlns:c16="http://schemas.microsoft.com/office/drawing/2014/chart" uri="{C3380CC4-5D6E-409C-BE32-E72D297353CC}">
              <c16:uniqueId val="{00000000-B107-4400-A252-988EC8E4ACD4}"/>
            </c:ext>
          </c:extLst>
        </c:ser>
        <c:ser>
          <c:idx val="1"/>
          <c:order val="1"/>
          <c:spPr>
            <a:solidFill>
              <a:srgbClr val="1F1F1F"/>
            </a:solidFill>
            <a:ln>
              <a:noFill/>
            </a:ln>
            <a:effectLst/>
          </c:spPr>
          <c:invertIfNegative val="0"/>
          <c:val>
            <c:numRef>
              <c:f>'Pivot Table '!$Q$12</c:f>
              <c:numCache>
                <c:formatCode>0%</c:formatCode>
                <c:ptCount val="1"/>
                <c:pt idx="0">
                  <c:v>0.58333333333333326</c:v>
                </c:pt>
              </c:numCache>
            </c:numRef>
          </c:val>
          <c:extLst>
            <c:ext xmlns:c16="http://schemas.microsoft.com/office/drawing/2014/chart" uri="{C3380CC4-5D6E-409C-BE32-E72D297353CC}">
              <c16:uniqueId val="{00000001-B107-4400-A252-988EC8E4ACD4}"/>
            </c:ext>
          </c:extLst>
        </c:ser>
        <c:dLbls>
          <c:showLegendKey val="0"/>
          <c:showVal val="0"/>
          <c:showCatName val="0"/>
          <c:showSerName val="0"/>
          <c:showPercent val="0"/>
          <c:showBubbleSize val="0"/>
        </c:dLbls>
        <c:gapWidth val="150"/>
        <c:overlap val="100"/>
        <c:axId val="481150912"/>
        <c:axId val="481167712"/>
      </c:barChart>
      <c:catAx>
        <c:axId val="481150912"/>
        <c:scaling>
          <c:orientation val="minMax"/>
        </c:scaling>
        <c:delete val="1"/>
        <c:axPos val="l"/>
        <c:majorTickMark val="none"/>
        <c:minorTickMark val="none"/>
        <c:tickLblPos val="nextTo"/>
        <c:crossAx val="481167712"/>
        <c:crosses val="autoZero"/>
        <c:auto val="1"/>
        <c:lblAlgn val="ctr"/>
        <c:lblOffset val="100"/>
        <c:noMultiLvlLbl val="0"/>
      </c:catAx>
      <c:valAx>
        <c:axId val="481167712"/>
        <c:scaling>
          <c:orientation val="minMax"/>
        </c:scaling>
        <c:delete val="1"/>
        <c:axPos val="b"/>
        <c:numFmt formatCode="0%" sourceLinked="1"/>
        <c:majorTickMark val="none"/>
        <c:minorTickMark val="none"/>
        <c:tickLblPos val="nextTo"/>
        <c:crossAx val="4811509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1F1F1F"/>
            </a:solidFill>
            <a:ln>
              <a:noFill/>
            </a:ln>
          </c:spPr>
          <c:dPt>
            <c:idx val="0"/>
            <c:bubble3D val="0"/>
            <c:spPr>
              <a:solidFill>
                <a:schemeClr val="bg2">
                  <a:lumMod val="50000"/>
                </a:schemeClr>
              </a:solidFill>
              <a:ln w="19050">
                <a:noFill/>
              </a:ln>
              <a:effectLst/>
            </c:spPr>
            <c:extLst>
              <c:ext xmlns:c16="http://schemas.microsoft.com/office/drawing/2014/chart" uri="{C3380CC4-5D6E-409C-BE32-E72D297353CC}">
                <c16:uniqueId val="{00000001-B862-4CDF-B822-33106F9449BD}"/>
              </c:ext>
            </c:extLst>
          </c:dPt>
          <c:dPt>
            <c:idx val="1"/>
            <c:bubble3D val="0"/>
            <c:spPr>
              <a:solidFill>
                <a:srgbClr val="1F1F1F"/>
              </a:solidFill>
              <a:ln w="19050">
                <a:noFill/>
              </a:ln>
              <a:effectLst/>
            </c:spPr>
            <c:extLst>
              <c:ext xmlns:c16="http://schemas.microsoft.com/office/drawing/2014/chart" uri="{C3380CC4-5D6E-409C-BE32-E72D297353CC}">
                <c16:uniqueId val="{00000003-B862-4CDF-B822-33106F9449BD}"/>
              </c:ext>
            </c:extLst>
          </c:dPt>
          <c:val>
            <c:numRef>
              <c:f>'Pivot Table '!$K$20:$L$20</c:f>
              <c:numCache>
                <c:formatCode>0%</c:formatCode>
                <c:ptCount val="2"/>
                <c:pt idx="0">
                  <c:v>0.48</c:v>
                </c:pt>
                <c:pt idx="1">
                  <c:v>0.52</c:v>
                </c:pt>
              </c:numCache>
            </c:numRef>
          </c:val>
          <c:extLst>
            <c:ext xmlns:c16="http://schemas.microsoft.com/office/drawing/2014/chart" uri="{C3380CC4-5D6E-409C-BE32-E72D297353CC}">
              <c16:uniqueId val="{00000004-B862-4CDF-B822-33106F9449B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1F1F1F"/>
            </a:solidFill>
            <a:ln>
              <a:noFill/>
            </a:ln>
          </c:spPr>
          <c:dPt>
            <c:idx val="0"/>
            <c:bubble3D val="0"/>
            <c:spPr>
              <a:solidFill>
                <a:srgbClr val="E5B244"/>
              </a:solidFill>
              <a:ln w="19050">
                <a:noFill/>
              </a:ln>
              <a:effectLst/>
            </c:spPr>
            <c:extLst>
              <c:ext xmlns:c16="http://schemas.microsoft.com/office/drawing/2014/chart" uri="{C3380CC4-5D6E-409C-BE32-E72D297353CC}">
                <c16:uniqueId val="{00000001-57C9-49DD-96A6-73B30E846229}"/>
              </c:ext>
            </c:extLst>
          </c:dPt>
          <c:dPt>
            <c:idx val="1"/>
            <c:bubble3D val="0"/>
            <c:spPr>
              <a:solidFill>
                <a:srgbClr val="1F1F1F"/>
              </a:solidFill>
              <a:ln w="19050">
                <a:noFill/>
              </a:ln>
              <a:effectLst/>
            </c:spPr>
            <c:extLst>
              <c:ext xmlns:c16="http://schemas.microsoft.com/office/drawing/2014/chart" uri="{C3380CC4-5D6E-409C-BE32-E72D297353CC}">
                <c16:uniqueId val="{00000003-57C9-49DD-96A6-73B30E846229}"/>
              </c:ext>
            </c:extLst>
          </c:dPt>
          <c:val>
            <c:numRef>
              <c:f>'Pivot Table '!$K$21:$L$21</c:f>
              <c:numCache>
                <c:formatCode>0%</c:formatCode>
                <c:ptCount val="2"/>
                <c:pt idx="0">
                  <c:v>0.52</c:v>
                </c:pt>
                <c:pt idx="1">
                  <c:v>0.48</c:v>
                </c:pt>
              </c:numCache>
            </c:numRef>
          </c:val>
          <c:extLst>
            <c:ext xmlns:c16="http://schemas.microsoft.com/office/drawing/2014/chart" uri="{C3380CC4-5D6E-409C-BE32-E72D297353CC}">
              <c16:uniqueId val="{00000004-57C9-49DD-96A6-73B30E84622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 '!$E$12</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 '!$G$12</c:f>
              <c:numCache>
                <c:formatCode>General</c:formatCode>
                <c:ptCount val="1"/>
                <c:pt idx="0">
                  <c:v>0</c:v>
                </c:pt>
              </c:numCache>
            </c:numRef>
          </c:val>
          <c:extLst>
            <c:ext xmlns:c16="http://schemas.microsoft.com/office/drawing/2014/chart" uri="{C3380CC4-5D6E-409C-BE32-E72D297353CC}">
              <c16:uniqueId val="{00000000-D3E2-41EE-8C6E-BF4C0CD55E5A}"/>
            </c:ext>
          </c:extLst>
        </c:ser>
        <c:ser>
          <c:idx val="1"/>
          <c:order val="1"/>
          <c:tx>
            <c:strRef>
              <c:f>'Pivot Table '!$E$13</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 '!$G$13</c:f>
              <c:numCache>
                <c:formatCode>General</c:formatCode>
                <c:ptCount val="1"/>
                <c:pt idx="0">
                  <c:v>11</c:v>
                </c:pt>
              </c:numCache>
            </c:numRef>
          </c:val>
          <c:extLst>
            <c:ext xmlns:c16="http://schemas.microsoft.com/office/drawing/2014/chart" uri="{C3380CC4-5D6E-409C-BE32-E72D297353CC}">
              <c16:uniqueId val="{00000001-D3E2-41EE-8C6E-BF4C0CD55E5A}"/>
            </c:ext>
          </c:extLst>
        </c:ser>
        <c:ser>
          <c:idx val="2"/>
          <c:order val="2"/>
          <c:tx>
            <c:strRef>
              <c:f>'Pivot Table '!$E$14</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 '!$G$14</c:f>
              <c:numCache>
                <c:formatCode>General</c:formatCode>
                <c:ptCount val="1"/>
                <c:pt idx="0">
                  <c:v>0</c:v>
                </c:pt>
              </c:numCache>
            </c:numRef>
          </c:val>
          <c:extLst>
            <c:ext xmlns:c16="http://schemas.microsoft.com/office/drawing/2014/chart" uri="{C3380CC4-5D6E-409C-BE32-E72D297353CC}">
              <c16:uniqueId val="{00000002-D3E2-41EE-8C6E-BF4C0CD55E5A}"/>
            </c:ext>
          </c:extLst>
        </c:ser>
        <c:ser>
          <c:idx val="3"/>
          <c:order val="3"/>
          <c:tx>
            <c:strRef>
              <c:f>'Pivot Table '!$E$15</c:f>
              <c:strCache>
                <c:ptCount val="1"/>
                <c:pt idx="0">
                  <c:v>HR Specialist</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 '!$G$15</c:f>
              <c:numCache>
                <c:formatCode>General</c:formatCode>
                <c:ptCount val="1"/>
                <c:pt idx="0">
                  <c:v>0</c:v>
                </c:pt>
              </c:numCache>
            </c:numRef>
          </c:val>
          <c:extLst>
            <c:ext xmlns:c16="http://schemas.microsoft.com/office/drawing/2014/chart" uri="{C3380CC4-5D6E-409C-BE32-E72D297353CC}">
              <c16:uniqueId val="{00000003-D3E2-41EE-8C6E-BF4C0CD55E5A}"/>
            </c:ext>
          </c:extLst>
        </c:ser>
        <c:ser>
          <c:idx val="4"/>
          <c:order val="4"/>
          <c:tx>
            <c:strRef>
              <c:f>'Pivot Table '!$E$16</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 '!$G$16</c:f>
              <c:numCache>
                <c:formatCode>General</c:formatCode>
                <c:ptCount val="1"/>
                <c:pt idx="0">
                  <c:v>0</c:v>
                </c:pt>
              </c:numCache>
            </c:numRef>
          </c:val>
          <c:extLst>
            <c:ext xmlns:c16="http://schemas.microsoft.com/office/drawing/2014/chart" uri="{C3380CC4-5D6E-409C-BE32-E72D297353CC}">
              <c16:uniqueId val="{00000004-D3E2-41EE-8C6E-BF4C0CD55E5A}"/>
            </c:ext>
          </c:extLst>
        </c:ser>
        <c:dLbls>
          <c:showLegendKey val="0"/>
          <c:showVal val="0"/>
          <c:showCatName val="0"/>
          <c:showSerName val="0"/>
          <c:showPercent val="0"/>
          <c:showBubbleSize val="0"/>
        </c:dLbls>
        <c:gapWidth val="219"/>
        <c:overlap val="-27"/>
        <c:axId val="824221759"/>
        <c:axId val="824220799"/>
      </c:barChart>
      <c:catAx>
        <c:axId val="824221759"/>
        <c:scaling>
          <c:orientation val="minMax"/>
        </c:scaling>
        <c:delete val="1"/>
        <c:axPos val="b"/>
        <c:numFmt formatCode="General" sourceLinked="1"/>
        <c:majorTickMark val="none"/>
        <c:minorTickMark val="none"/>
        <c:tickLblPos val="nextTo"/>
        <c:crossAx val="824220799"/>
        <c:crosses val="autoZero"/>
        <c:auto val="1"/>
        <c:lblAlgn val="ctr"/>
        <c:lblOffset val="100"/>
        <c:noMultiLvlLbl val="0"/>
      </c:catAx>
      <c:valAx>
        <c:axId val="824220799"/>
        <c:scaling>
          <c:orientation val="minMax"/>
        </c:scaling>
        <c:delete val="1"/>
        <c:axPos val="l"/>
        <c:majorGridlines>
          <c:spPr>
            <a:ln w="9525" cap="flat" cmpd="sng" algn="ctr">
              <a:solidFill>
                <a:schemeClr val="tx1">
                  <a:lumMod val="15000"/>
                  <a:lumOff val="85000"/>
                  <a:alpha val="35000"/>
                </a:schemeClr>
              </a:solidFill>
              <a:prstDash val="lgDashDotDot"/>
              <a:round/>
            </a:ln>
            <a:effectLst/>
          </c:spPr>
        </c:majorGridlines>
        <c:numFmt formatCode="General" sourceLinked="1"/>
        <c:majorTickMark val="none"/>
        <c:minorTickMark val="none"/>
        <c:tickLblPos val="nextTo"/>
        <c:crossAx val="8242217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2">
                <a:lumMod val="50000"/>
              </a:schemeClr>
            </a:solidFill>
            <a:ln>
              <a:noFill/>
            </a:ln>
            <a:effectLst/>
          </c:spPr>
          <c:invertIfNegative val="0"/>
          <c:cat>
            <c:strRef>
              <c:f>'Pivot Table '!$V$12:$V$16</c:f>
              <c:strCache>
                <c:ptCount val="5"/>
                <c:pt idx="0">
                  <c:v>Central</c:v>
                </c:pt>
                <c:pt idx="1">
                  <c:v>East</c:v>
                </c:pt>
                <c:pt idx="2">
                  <c:v>North</c:v>
                </c:pt>
                <c:pt idx="3">
                  <c:v>South</c:v>
                </c:pt>
                <c:pt idx="4">
                  <c:v>West</c:v>
                </c:pt>
              </c:strCache>
            </c:strRef>
          </c:cat>
          <c:val>
            <c:numRef>
              <c:f>'Pivot Table '!$W$12:$W$16</c:f>
              <c:numCache>
                <c:formatCode>General</c:formatCode>
                <c:ptCount val="5"/>
                <c:pt idx="0">
                  <c:v>9</c:v>
                </c:pt>
                <c:pt idx="1">
                  <c:v>3</c:v>
                </c:pt>
                <c:pt idx="2">
                  <c:v>3</c:v>
                </c:pt>
                <c:pt idx="3">
                  <c:v>5</c:v>
                </c:pt>
                <c:pt idx="4">
                  <c:v>4</c:v>
                </c:pt>
              </c:numCache>
            </c:numRef>
          </c:val>
          <c:extLst>
            <c:ext xmlns:c16="http://schemas.microsoft.com/office/drawing/2014/chart" uri="{C3380CC4-5D6E-409C-BE32-E72D297353CC}">
              <c16:uniqueId val="{00000000-0729-4E10-B14C-08E8CBCE5DA0}"/>
            </c:ext>
          </c:extLst>
        </c:ser>
        <c:dLbls>
          <c:showLegendKey val="0"/>
          <c:showVal val="0"/>
          <c:showCatName val="0"/>
          <c:showSerName val="0"/>
          <c:showPercent val="0"/>
          <c:showBubbleSize val="0"/>
        </c:dLbls>
        <c:gapWidth val="25"/>
        <c:axId val="810460607"/>
        <c:axId val="810457247"/>
      </c:barChart>
      <c:catAx>
        <c:axId val="81046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10457247"/>
        <c:crosses val="autoZero"/>
        <c:auto val="1"/>
        <c:lblAlgn val="ctr"/>
        <c:lblOffset val="100"/>
        <c:noMultiLvlLbl val="0"/>
      </c:catAx>
      <c:valAx>
        <c:axId val="810457247"/>
        <c:scaling>
          <c:orientation val="minMax"/>
        </c:scaling>
        <c:delete val="1"/>
        <c:axPos val="b"/>
        <c:numFmt formatCode="General" sourceLinked="1"/>
        <c:majorTickMark val="none"/>
        <c:minorTickMark val="none"/>
        <c:tickLblPos val="nextTo"/>
        <c:crossAx val="81046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91440</xdr:rowOff>
    </xdr:from>
    <xdr:to>
      <xdr:col>20</xdr:col>
      <xdr:colOff>236220</xdr:colOff>
      <xdr:row>33</xdr:row>
      <xdr:rowOff>83820</xdr:rowOff>
    </xdr:to>
    <xdr:sp macro="" textlink="">
      <xdr:nvSpPr>
        <xdr:cNvPr id="2" name="Rectangle: Rounded Corners 1">
          <a:extLst>
            <a:ext uri="{FF2B5EF4-FFF2-40B4-BE49-F238E27FC236}">
              <a16:creationId xmlns:a16="http://schemas.microsoft.com/office/drawing/2014/main" id="{BE0D0318-C87A-4CD7-CC72-09747D4D708E}"/>
            </a:ext>
          </a:extLst>
        </xdr:cNvPr>
        <xdr:cNvSpPr/>
      </xdr:nvSpPr>
      <xdr:spPr>
        <a:xfrm>
          <a:off x="137160" y="91440"/>
          <a:ext cx="12291060" cy="6027420"/>
        </a:xfrm>
        <a:prstGeom prst="roundRect">
          <a:avLst>
            <a:gd name="adj" fmla="val 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525780</xdr:colOff>
      <xdr:row>18</xdr:row>
      <xdr:rowOff>7620</xdr:rowOff>
    </xdr:from>
    <xdr:to>
      <xdr:col>11</xdr:col>
      <xdr:colOff>535380</xdr:colOff>
      <xdr:row>33</xdr:row>
      <xdr:rowOff>55020</xdr:rowOff>
    </xdr:to>
    <xdr:sp macro="" textlink="">
      <xdr:nvSpPr>
        <xdr:cNvPr id="6" name="Rectangle: Rounded Corners 5">
          <a:extLst>
            <a:ext uri="{FF2B5EF4-FFF2-40B4-BE49-F238E27FC236}">
              <a16:creationId xmlns:a16="http://schemas.microsoft.com/office/drawing/2014/main" id="{E21A733E-D5CA-1E03-A2B7-00FBBEC3A928}"/>
            </a:ext>
          </a:extLst>
        </xdr:cNvPr>
        <xdr:cNvSpPr/>
      </xdr:nvSpPr>
      <xdr:spPr>
        <a:xfrm>
          <a:off x="4792980" y="3162300"/>
          <a:ext cx="2448000" cy="2676300"/>
        </a:xfrm>
        <a:prstGeom prst="roundRect">
          <a:avLst>
            <a:gd name="adj" fmla="val 11072"/>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506730</xdr:colOff>
      <xdr:row>21</xdr:row>
      <xdr:rowOff>60960</xdr:rowOff>
    </xdr:from>
    <xdr:to>
      <xdr:col>11</xdr:col>
      <xdr:colOff>346710</xdr:colOff>
      <xdr:row>23</xdr:row>
      <xdr:rowOff>7620</xdr:rowOff>
    </xdr:to>
    <xdr:sp macro="" textlink="">
      <xdr:nvSpPr>
        <xdr:cNvPr id="39" name="Rectangle: Rounded Corners 38">
          <a:extLst>
            <a:ext uri="{FF2B5EF4-FFF2-40B4-BE49-F238E27FC236}">
              <a16:creationId xmlns:a16="http://schemas.microsoft.com/office/drawing/2014/main" id="{7A00841C-4227-81C7-FECE-3CBDA8EEE2CC}"/>
            </a:ext>
          </a:extLst>
        </xdr:cNvPr>
        <xdr:cNvSpPr/>
      </xdr:nvSpPr>
      <xdr:spPr>
        <a:xfrm>
          <a:off x="5993130" y="3741420"/>
          <a:ext cx="1059180" cy="297180"/>
        </a:xfrm>
        <a:prstGeom prst="roundRect">
          <a:avLst>
            <a:gd name="adj" fmla="val 50000"/>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506730</xdr:colOff>
      <xdr:row>23</xdr:row>
      <xdr:rowOff>30480</xdr:rowOff>
    </xdr:from>
    <xdr:to>
      <xdr:col>11</xdr:col>
      <xdr:colOff>346710</xdr:colOff>
      <xdr:row>24</xdr:row>
      <xdr:rowOff>152400</xdr:rowOff>
    </xdr:to>
    <xdr:sp macro="" textlink="">
      <xdr:nvSpPr>
        <xdr:cNvPr id="40" name="Rectangle: Rounded Corners 39">
          <a:extLst>
            <a:ext uri="{FF2B5EF4-FFF2-40B4-BE49-F238E27FC236}">
              <a16:creationId xmlns:a16="http://schemas.microsoft.com/office/drawing/2014/main" id="{D249CDBD-BB3E-3906-7B15-08F62CE7F3D2}"/>
            </a:ext>
          </a:extLst>
        </xdr:cNvPr>
        <xdr:cNvSpPr/>
      </xdr:nvSpPr>
      <xdr:spPr>
        <a:xfrm>
          <a:off x="5993130" y="4061460"/>
          <a:ext cx="1059180" cy="297180"/>
        </a:xfrm>
        <a:prstGeom prst="roundRect">
          <a:avLst>
            <a:gd name="adj" fmla="val 5000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506730</xdr:colOff>
      <xdr:row>25</xdr:row>
      <xdr:rowOff>0</xdr:rowOff>
    </xdr:from>
    <xdr:to>
      <xdr:col>11</xdr:col>
      <xdr:colOff>346710</xdr:colOff>
      <xdr:row>26</xdr:row>
      <xdr:rowOff>121920</xdr:rowOff>
    </xdr:to>
    <xdr:sp macro="" textlink="">
      <xdr:nvSpPr>
        <xdr:cNvPr id="42" name="Rectangle: Rounded Corners 41">
          <a:extLst>
            <a:ext uri="{FF2B5EF4-FFF2-40B4-BE49-F238E27FC236}">
              <a16:creationId xmlns:a16="http://schemas.microsoft.com/office/drawing/2014/main" id="{7E983CCA-F859-8AA5-132C-CF4BD1FCC52D}"/>
            </a:ext>
          </a:extLst>
        </xdr:cNvPr>
        <xdr:cNvSpPr/>
      </xdr:nvSpPr>
      <xdr:spPr>
        <a:xfrm>
          <a:off x="5993130" y="4381500"/>
          <a:ext cx="1059180" cy="297180"/>
        </a:xfrm>
        <a:prstGeom prst="roundRect">
          <a:avLst>
            <a:gd name="adj" fmla="val 5000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506730</xdr:colOff>
      <xdr:row>26</xdr:row>
      <xdr:rowOff>144780</xdr:rowOff>
    </xdr:from>
    <xdr:to>
      <xdr:col>11</xdr:col>
      <xdr:colOff>346710</xdr:colOff>
      <xdr:row>28</xdr:row>
      <xdr:rowOff>91440</xdr:rowOff>
    </xdr:to>
    <xdr:sp macro="" textlink="">
      <xdr:nvSpPr>
        <xdr:cNvPr id="45" name="Rectangle: Rounded Corners 44">
          <a:extLst>
            <a:ext uri="{FF2B5EF4-FFF2-40B4-BE49-F238E27FC236}">
              <a16:creationId xmlns:a16="http://schemas.microsoft.com/office/drawing/2014/main" id="{21110A52-B52D-BC1B-1CFC-430C2D90330A}"/>
            </a:ext>
          </a:extLst>
        </xdr:cNvPr>
        <xdr:cNvSpPr/>
      </xdr:nvSpPr>
      <xdr:spPr>
        <a:xfrm>
          <a:off x="5993130" y="4701540"/>
          <a:ext cx="1059180" cy="297180"/>
        </a:xfrm>
        <a:prstGeom prst="roundRect">
          <a:avLst>
            <a:gd name="adj" fmla="val 5000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506730</xdr:colOff>
      <xdr:row>28</xdr:row>
      <xdr:rowOff>114300</xdr:rowOff>
    </xdr:from>
    <xdr:to>
      <xdr:col>11</xdr:col>
      <xdr:colOff>346710</xdr:colOff>
      <xdr:row>30</xdr:row>
      <xdr:rowOff>60960</xdr:rowOff>
    </xdr:to>
    <xdr:sp macro="" textlink="">
      <xdr:nvSpPr>
        <xdr:cNvPr id="46" name="Rectangle: Rounded Corners 45">
          <a:extLst>
            <a:ext uri="{FF2B5EF4-FFF2-40B4-BE49-F238E27FC236}">
              <a16:creationId xmlns:a16="http://schemas.microsoft.com/office/drawing/2014/main" id="{A3788FE4-4BB4-52BF-0BC0-72474894BE30}"/>
            </a:ext>
          </a:extLst>
        </xdr:cNvPr>
        <xdr:cNvSpPr/>
      </xdr:nvSpPr>
      <xdr:spPr>
        <a:xfrm>
          <a:off x="5993130" y="5021580"/>
          <a:ext cx="1059180" cy="297180"/>
        </a:xfrm>
        <a:prstGeom prst="roundRect">
          <a:avLst>
            <a:gd name="adj" fmla="val 5000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506730</xdr:colOff>
      <xdr:row>30</xdr:row>
      <xdr:rowOff>83820</xdr:rowOff>
    </xdr:from>
    <xdr:to>
      <xdr:col>11</xdr:col>
      <xdr:colOff>346710</xdr:colOff>
      <xdr:row>32</xdr:row>
      <xdr:rowOff>30480</xdr:rowOff>
    </xdr:to>
    <xdr:sp macro="" textlink="">
      <xdr:nvSpPr>
        <xdr:cNvPr id="47" name="Rectangle: Rounded Corners 46">
          <a:extLst>
            <a:ext uri="{FF2B5EF4-FFF2-40B4-BE49-F238E27FC236}">
              <a16:creationId xmlns:a16="http://schemas.microsoft.com/office/drawing/2014/main" id="{7C46D50B-985A-FA31-0FC3-EF968015BA8E}"/>
            </a:ext>
          </a:extLst>
        </xdr:cNvPr>
        <xdr:cNvSpPr/>
      </xdr:nvSpPr>
      <xdr:spPr>
        <a:xfrm>
          <a:off x="5993130" y="5341620"/>
          <a:ext cx="1059180" cy="297180"/>
        </a:xfrm>
        <a:prstGeom prst="roundRect">
          <a:avLst>
            <a:gd name="adj" fmla="val 5000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23</xdr:row>
      <xdr:rowOff>7620</xdr:rowOff>
    </xdr:from>
    <xdr:to>
      <xdr:col>3</xdr:col>
      <xdr:colOff>269700</xdr:colOff>
      <xdr:row>33</xdr:row>
      <xdr:rowOff>55020</xdr:rowOff>
    </xdr:to>
    <xdr:sp macro="" textlink="">
      <xdr:nvSpPr>
        <xdr:cNvPr id="3" name="Rectangle: Rounded Corners 2">
          <a:extLst>
            <a:ext uri="{FF2B5EF4-FFF2-40B4-BE49-F238E27FC236}">
              <a16:creationId xmlns:a16="http://schemas.microsoft.com/office/drawing/2014/main" id="{08E2AC6D-9D5A-8BCD-522E-122E5D166E36}"/>
            </a:ext>
          </a:extLst>
        </xdr:cNvPr>
        <xdr:cNvSpPr/>
      </xdr:nvSpPr>
      <xdr:spPr>
        <a:xfrm>
          <a:off x="190500" y="4213860"/>
          <a:ext cx="1908000" cy="1876200"/>
        </a:xfrm>
        <a:prstGeom prst="roundRect">
          <a:avLst>
            <a:gd name="adj" fmla="val 592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335280</xdr:colOff>
      <xdr:row>19</xdr:row>
      <xdr:rowOff>168660</xdr:rowOff>
    </xdr:from>
    <xdr:to>
      <xdr:col>7</xdr:col>
      <xdr:colOff>344880</xdr:colOff>
      <xdr:row>33</xdr:row>
      <xdr:rowOff>55020</xdr:rowOff>
    </xdr:to>
    <xdr:sp macro="" textlink="">
      <xdr:nvSpPr>
        <xdr:cNvPr id="5" name="Rectangle: Rounded Corners 4">
          <a:extLst>
            <a:ext uri="{FF2B5EF4-FFF2-40B4-BE49-F238E27FC236}">
              <a16:creationId xmlns:a16="http://schemas.microsoft.com/office/drawing/2014/main" id="{D872B4AD-11B6-EF7F-35E5-CCEF042F5B28}"/>
            </a:ext>
          </a:extLst>
        </xdr:cNvPr>
        <xdr:cNvSpPr/>
      </xdr:nvSpPr>
      <xdr:spPr>
        <a:xfrm>
          <a:off x="2164080" y="3498600"/>
          <a:ext cx="2448000" cy="2340000"/>
        </a:xfrm>
        <a:prstGeom prst="roundRect">
          <a:avLst>
            <a:gd name="adj" fmla="val 944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487680</xdr:colOff>
      <xdr:row>2</xdr:row>
      <xdr:rowOff>144780</xdr:rowOff>
    </xdr:from>
    <xdr:to>
      <xdr:col>11</xdr:col>
      <xdr:colOff>497280</xdr:colOff>
      <xdr:row>17</xdr:row>
      <xdr:rowOff>83820</xdr:rowOff>
    </xdr:to>
    <xdr:sp macro="" textlink="">
      <xdr:nvSpPr>
        <xdr:cNvPr id="7" name="Rectangle: Rounded Corners 6">
          <a:extLst>
            <a:ext uri="{FF2B5EF4-FFF2-40B4-BE49-F238E27FC236}">
              <a16:creationId xmlns:a16="http://schemas.microsoft.com/office/drawing/2014/main" id="{43688492-E540-1458-D76F-0F632821F3FC}"/>
            </a:ext>
          </a:extLst>
        </xdr:cNvPr>
        <xdr:cNvSpPr/>
      </xdr:nvSpPr>
      <xdr:spPr>
        <a:xfrm>
          <a:off x="4754880" y="495300"/>
          <a:ext cx="2448000" cy="2567940"/>
        </a:xfrm>
        <a:prstGeom prst="roundRect">
          <a:avLst>
            <a:gd name="adj" fmla="val 6839"/>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25000"/>
              </a:schemeClr>
            </a:solidFill>
          </a:endParaRPr>
        </a:p>
      </xdr:txBody>
    </xdr:sp>
    <xdr:clientData/>
  </xdr:twoCellAnchor>
  <xdr:twoCellAnchor>
    <xdr:from>
      <xdr:col>3</xdr:col>
      <xdr:colOff>304800</xdr:colOff>
      <xdr:row>6</xdr:row>
      <xdr:rowOff>22860</xdr:rowOff>
    </xdr:from>
    <xdr:to>
      <xdr:col>7</xdr:col>
      <xdr:colOff>381000</xdr:colOff>
      <xdr:row>11</xdr:row>
      <xdr:rowOff>121920</xdr:rowOff>
    </xdr:to>
    <xdr:sp macro="" textlink="">
      <xdr:nvSpPr>
        <xdr:cNvPr id="8" name="Rectangle: Rounded Corners 7">
          <a:extLst>
            <a:ext uri="{FF2B5EF4-FFF2-40B4-BE49-F238E27FC236}">
              <a16:creationId xmlns:a16="http://schemas.microsoft.com/office/drawing/2014/main" id="{C9D4DED9-861B-F2BA-4BF3-191FD314831D}"/>
            </a:ext>
          </a:extLst>
        </xdr:cNvPr>
        <xdr:cNvSpPr/>
      </xdr:nvSpPr>
      <xdr:spPr>
        <a:xfrm>
          <a:off x="2133600" y="1120140"/>
          <a:ext cx="2514600" cy="1013460"/>
        </a:xfrm>
        <a:prstGeom prst="roundRect">
          <a:avLst>
            <a:gd name="adj" fmla="val 1953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289560</xdr:colOff>
      <xdr:row>11</xdr:row>
      <xdr:rowOff>160020</xdr:rowOff>
    </xdr:from>
    <xdr:to>
      <xdr:col>5</xdr:col>
      <xdr:colOff>240360</xdr:colOff>
      <xdr:row>19</xdr:row>
      <xdr:rowOff>45720</xdr:rowOff>
    </xdr:to>
    <xdr:sp macro="" textlink="">
      <xdr:nvSpPr>
        <xdr:cNvPr id="9" name="Rectangle: Rounded Corners 8">
          <a:extLst>
            <a:ext uri="{FF2B5EF4-FFF2-40B4-BE49-F238E27FC236}">
              <a16:creationId xmlns:a16="http://schemas.microsoft.com/office/drawing/2014/main" id="{74B28038-F92E-4741-E34A-4860198A9A4C}"/>
            </a:ext>
          </a:extLst>
        </xdr:cNvPr>
        <xdr:cNvSpPr/>
      </xdr:nvSpPr>
      <xdr:spPr>
        <a:xfrm>
          <a:off x="2118360" y="2087880"/>
          <a:ext cx="1170000" cy="1287780"/>
        </a:xfrm>
        <a:prstGeom prst="roundRect">
          <a:avLst>
            <a:gd name="adj" fmla="val 1834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396240</xdr:colOff>
      <xdr:row>11</xdr:row>
      <xdr:rowOff>144780</xdr:rowOff>
    </xdr:from>
    <xdr:to>
      <xdr:col>7</xdr:col>
      <xdr:colOff>347040</xdr:colOff>
      <xdr:row>19</xdr:row>
      <xdr:rowOff>30480</xdr:rowOff>
    </xdr:to>
    <xdr:sp macro="" textlink="">
      <xdr:nvSpPr>
        <xdr:cNvPr id="10" name="Rectangle: Rounded Corners 9">
          <a:extLst>
            <a:ext uri="{FF2B5EF4-FFF2-40B4-BE49-F238E27FC236}">
              <a16:creationId xmlns:a16="http://schemas.microsoft.com/office/drawing/2014/main" id="{BF2F78E7-9CB8-D43E-63D6-89E1C1D947CD}"/>
            </a:ext>
          </a:extLst>
        </xdr:cNvPr>
        <xdr:cNvSpPr/>
      </xdr:nvSpPr>
      <xdr:spPr>
        <a:xfrm>
          <a:off x="3444240" y="2072640"/>
          <a:ext cx="1170000" cy="1287780"/>
        </a:xfrm>
        <a:prstGeom prst="roundRect">
          <a:avLst>
            <a:gd name="adj" fmla="val 14111"/>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358851</xdr:colOff>
      <xdr:row>19</xdr:row>
      <xdr:rowOff>7620</xdr:rowOff>
    </xdr:from>
    <xdr:to>
      <xdr:col>16</xdr:col>
      <xdr:colOff>563880</xdr:colOff>
      <xdr:row>25</xdr:row>
      <xdr:rowOff>141510</xdr:rowOff>
    </xdr:to>
    <xdr:sp macro="" textlink="">
      <xdr:nvSpPr>
        <xdr:cNvPr id="11" name="Rectangle: Rounded Corners 10">
          <a:extLst>
            <a:ext uri="{FF2B5EF4-FFF2-40B4-BE49-F238E27FC236}">
              <a16:creationId xmlns:a16="http://schemas.microsoft.com/office/drawing/2014/main" id="{57C2360B-2AA3-A4E7-2DE0-32E3102EBC80}"/>
            </a:ext>
          </a:extLst>
        </xdr:cNvPr>
        <xdr:cNvSpPr/>
      </xdr:nvSpPr>
      <xdr:spPr>
        <a:xfrm>
          <a:off x="8893251" y="3337560"/>
          <a:ext cx="1424229" cy="1185450"/>
        </a:xfrm>
        <a:prstGeom prst="roundRect">
          <a:avLst>
            <a:gd name="adj" fmla="val 11072"/>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412191</xdr:colOff>
      <xdr:row>26</xdr:row>
      <xdr:rowOff>35430</xdr:rowOff>
    </xdr:from>
    <xdr:to>
      <xdr:col>17</xdr:col>
      <xdr:colOff>7620</xdr:colOff>
      <xdr:row>32</xdr:row>
      <xdr:rowOff>169320</xdr:rowOff>
    </xdr:to>
    <xdr:sp macro="" textlink="">
      <xdr:nvSpPr>
        <xdr:cNvPr id="12" name="Rectangle: Rounded Corners 11">
          <a:extLst>
            <a:ext uri="{FF2B5EF4-FFF2-40B4-BE49-F238E27FC236}">
              <a16:creationId xmlns:a16="http://schemas.microsoft.com/office/drawing/2014/main" id="{617542E3-59F4-92DD-B7D4-C988C46E2AF9}"/>
            </a:ext>
          </a:extLst>
        </xdr:cNvPr>
        <xdr:cNvSpPr/>
      </xdr:nvSpPr>
      <xdr:spPr>
        <a:xfrm>
          <a:off x="8946591" y="4592190"/>
          <a:ext cx="1424229" cy="1185450"/>
        </a:xfrm>
        <a:prstGeom prst="roundRect">
          <a:avLst>
            <a:gd name="adj" fmla="val 11072"/>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58920</xdr:colOff>
      <xdr:row>26</xdr:row>
      <xdr:rowOff>35430</xdr:rowOff>
    </xdr:from>
    <xdr:to>
      <xdr:col>14</xdr:col>
      <xdr:colOff>263949</xdr:colOff>
      <xdr:row>32</xdr:row>
      <xdr:rowOff>169320</xdr:rowOff>
    </xdr:to>
    <xdr:sp macro="" textlink="">
      <xdr:nvSpPr>
        <xdr:cNvPr id="13" name="Rectangle: Rounded Corners 12">
          <a:extLst>
            <a:ext uri="{FF2B5EF4-FFF2-40B4-BE49-F238E27FC236}">
              <a16:creationId xmlns:a16="http://schemas.microsoft.com/office/drawing/2014/main" id="{C5553BB8-21AE-DBED-95B4-04C37EA562CC}"/>
            </a:ext>
          </a:extLst>
        </xdr:cNvPr>
        <xdr:cNvSpPr/>
      </xdr:nvSpPr>
      <xdr:spPr>
        <a:xfrm>
          <a:off x="7374120" y="4592190"/>
          <a:ext cx="1424229" cy="1185450"/>
        </a:xfrm>
        <a:prstGeom prst="roundRect">
          <a:avLst>
            <a:gd name="adj" fmla="val 11072"/>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36060</xdr:colOff>
      <xdr:row>7</xdr:row>
      <xdr:rowOff>144780</xdr:rowOff>
    </xdr:from>
    <xdr:to>
      <xdr:col>16</xdr:col>
      <xdr:colOff>563880</xdr:colOff>
      <xdr:row>17</xdr:row>
      <xdr:rowOff>40560</xdr:rowOff>
    </xdr:to>
    <xdr:sp macro="" textlink="">
      <xdr:nvSpPr>
        <xdr:cNvPr id="17" name="Rectangle: Rounded Corners 16">
          <a:extLst>
            <a:ext uri="{FF2B5EF4-FFF2-40B4-BE49-F238E27FC236}">
              <a16:creationId xmlns:a16="http://schemas.microsoft.com/office/drawing/2014/main" id="{F54776BB-9F79-9CB6-656A-5D58DD77F313}"/>
            </a:ext>
          </a:extLst>
        </xdr:cNvPr>
        <xdr:cNvSpPr/>
      </xdr:nvSpPr>
      <xdr:spPr>
        <a:xfrm>
          <a:off x="7351260" y="1424940"/>
          <a:ext cx="2966220" cy="1724580"/>
        </a:xfrm>
        <a:prstGeom prst="roundRect">
          <a:avLst>
            <a:gd name="adj" fmla="val 11072"/>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89400</xdr:colOff>
      <xdr:row>1</xdr:row>
      <xdr:rowOff>0</xdr:rowOff>
    </xdr:from>
    <xdr:to>
      <xdr:col>17</xdr:col>
      <xdr:colOff>7620</xdr:colOff>
      <xdr:row>7</xdr:row>
      <xdr:rowOff>109140</xdr:rowOff>
    </xdr:to>
    <xdr:sp macro="" textlink="">
      <xdr:nvSpPr>
        <xdr:cNvPr id="18" name="Rectangle: Rounded Corners 17">
          <a:extLst>
            <a:ext uri="{FF2B5EF4-FFF2-40B4-BE49-F238E27FC236}">
              <a16:creationId xmlns:a16="http://schemas.microsoft.com/office/drawing/2014/main" id="{4149BFAF-5620-86C8-9E12-983C9BE717C7}"/>
            </a:ext>
          </a:extLst>
        </xdr:cNvPr>
        <xdr:cNvSpPr/>
      </xdr:nvSpPr>
      <xdr:spPr>
        <a:xfrm>
          <a:off x="7404600" y="175260"/>
          <a:ext cx="2966220" cy="1160700"/>
        </a:xfrm>
        <a:prstGeom prst="roundRect">
          <a:avLst>
            <a:gd name="adj" fmla="val 11072"/>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464820</xdr:colOff>
      <xdr:row>26</xdr:row>
      <xdr:rowOff>68580</xdr:rowOff>
    </xdr:from>
    <xdr:to>
      <xdr:col>16</xdr:col>
      <xdr:colOff>213360</xdr:colOff>
      <xdr:row>30</xdr:row>
      <xdr:rowOff>30480</xdr:rowOff>
    </xdr:to>
    <xdr:sp macro="" textlink="">
      <xdr:nvSpPr>
        <xdr:cNvPr id="22" name="TextBox 21">
          <a:extLst>
            <a:ext uri="{FF2B5EF4-FFF2-40B4-BE49-F238E27FC236}">
              <a16:creationId xmlns:a16="http://schemas.microsoft.com/office/drawing/2014/main" id="{A08C4AE4-05C5-B2D9-2881-063C2E036B8F}"/>
            </a:ext>
          </a:extLst>
        </xdr:cNvPr>
        <xdr:cNvSpPr txBox="1"/>
      </xdr:nvSpPr>
      <xdr:spPr>
        <a:xfrm>
          <a:off x="8999220" y="4625340"/>
          <a:ext cx="96774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chemeClr val="bg1"/>
                </a:solidFill>
              </a:ln>
              <a:solidFill>
                <a:schemeClr val="bg1"/>
              </a:solidFill>
            </a:rPr>
            <a:t>Full</a:t>
          </a:r>
        </a:p>
        <a:p>
          <a:r>
            <a:rPr lang="en-US" sz="1200" b="1">
              <a:ln>
                <a:solidFill>
                  <a:schemeClr val="bg1"/>
                </a:solidFill>
              </a:ln>
              <a:solidFill>
                <a:schemeClr val="bg1"/>
              </a:solidFill>
            </a:rPr>
            <a:t> Time Employee's </a:t>
          </a:r>
        </a:p>
      </xdr:txBody>
    </xdr:sp>
    <xdr:clientData/>
  </xdr:twoCellAnchor>
  <xdr:twoCellAnchor>
    <xdr:from>
      <xdr:col>15</xdr:col>
      <xdr:colOff>495300</xdr:colOff>
      <xdr:row>29</xdr:row>
      <xdr:rowOff>83820</xdr:rowOff>
    </xdr:from>
    <xdr:to>
      <xdr:col>16</xdr:col>
      <xdr:colOff>541020</xdr:colOff>
      <xdr:row>32</xdr:row>
      <xdr:rowOff>121920</xdr:rowOff>
    </xdr:to>
    <xdr:sp macro="" textlink="'Pivot Table '!C11">
      <xdr:nvSpPr>
        <xdr:cNvPr id="23" name="TextBox 22">
          <a:extLst>
            <a:ext uri="{FF2B5EF4-FFF2-40B4-BE49-F238E27FC236}">
              <a16:creationId xmlns:a16="http://schemas.microsoft.com/office/drawing/2014/main" id="{7BB49113-451D-0EC8-263C-3A8D2431332C}"/>
            </a:ext>
          </a:extLst>
        </xdr:cNvPr>
        <xdr:cNvSpPr txBox="1"/>
      </xdr:nvSpPr>
      <xdr:spPr>
        <a:xfrm>
          <a:off x="9639300" y="5166360"/>
          <a:ext cx="65532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FAC892-514B-4515-BDC1-9A7493B2F1A8}" type="TxLink">
            <a:rPr lang="en-US" sz="3600" b="1" i="0" u="none" strike="noStrike">
              <a:ln>
                <a:solidFill>
                  <a:schemeClr val="bg1"/>
                </a:solidFill>
              </a:ln>
              <a:solidFill>
                <a:schemeClr val="bg1"/>
              </a:solidFill>
              <a:latin typeface="Aptos Narrow"/>
            </a:rPr>
            <a:pPr/>
            <a:t>8</a:t>
          </a:fld>
          <a:endParaRPr lang="en-US" sz="3600" b="1">
            <a:ln>
              <a:solidFill>
                <a:schemeClr val="bg1"/>
              </a:solidFill>
            </a:ln>
            <a:solidFill>
              <a:schemeClr val="bg1"/>
            </a:solidFill>
          </a:endParaRPr>
        </a:p>
      </xdr:txBody>
    </xdr:sp>
    <xdr:clientData/>
  </xdr:twoCellAnchor>
  <xdr:twoCellAnchor>
    <xdr:from>
      <xdr:col>12</xdr:col>
      <xdr:colOff>144780</xdr:colOff>
      <xdr:row>26</xdr:row>
      <xdr:rowOff>91440</xdr:rowOff>
    </xdr:from>
    <xdr:to>
      <xdr:col>13</xdr:col>
      <xdr:colOff>502920</xdr:colOff>
      <xdr:row>30</xdr:row>
      <xdr:rowOff>53340</xdr:rowOff>
    </xdr:to>
    <xdr:sp macro="" textlink="">
      <xdr:nvSpPr>
        <xdr:cNvPr id="24" name="TextBox 23">
          <a:extLst>
            <a:ext uri="{FF2B5EF4-FFF2-40B4-BE49-F238E27FC236}">
              <a16:creationId xmlns:a16="http://schemas.microsoft.com/office/drawing/2014/main" id="{C0047D6A-F35C-CB50-EDF5-469D355B8004}"/>
            </a:ext>
          </a:extLst>
        </xdr:cNvPr>
        <xdr:cNvSpPr txBox="1"/>
      </xdr:nvSpPr>
      <xdr:spPr>
        <a:xfrm>
          <a:off x="7459980" y="4648200"/>
          <a:ext cx="96774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chemeClr val="bg1"/>
                </a:solidFill>
              </a:ln>
              <a:solidFill>
                <a:schemeClr val="bg1"/>
              </a:solidFill>
            </a:rPr>
            <a:t>Employee's</a:t>
          </a:r>
        </a:p>
        <a:p>
          <a:r>
            <a:rPr lang="en-US" sz="1200" b="1">
              <a:ln>
                <a:solidFill>
                  <a:schemeClr val="bg1"/>
                </a:solidFill>
              </a:ln>
              <a:solidFill>
                <a:schemeClr val="bg1"/>
              </a:solidFill>
            </a:rPr>
            <a:t>with</a:t>
          </a:r>
        </a:p>
        <a:p>
          <a:r>
            <a:rPr lang="en-US" sz="1200" b="1">
              <a:ln>
                <a:solidFill>
                  <a:schemeClr val="bg1"/>
                </a:solidFill>
              </a:ln>
              <a:solidFill>
                <a:schemeClr val="bg1"/>
              </a:solidFill>
            </a:rPr>
            <a:t>contract </a:t>
          </a:r>
        </a:p>
      </xdr:txBody>
    </xdr:sp>
    <xdr:clientData/>
  </xdr:twoCellAnchor>
  <xdr:twoCellAnchor>
    <xdr:from>
      <xdr:col>13</xdr:col>
      <xdr:colOff>175260</xdr:colOff>
      <xdr:row>29</xdr:row>
      <xdr:rowOff>106680</xdr:rowOff>
    </xdr:from>
    <xdr:to>
      <xdr:col>14</xdr:col>
      <xdr:colOff>220980</xdr:colOff>
      <xdr:row>32</xdr:row>
      <xdr:rowOff>144780</xdr:rowOff>
    </xdr:to>
    <xdr:sp macro="" textlink="'Pivot Table '!C10">
      <xdr:nvSpPr>
        <xdr:cNvPr id="25" name="TextBox 24">
          <a:extLst>
            <a:ext uri="{FF2B5EF4-FFF2-40B4-BE49-F238E27FC236}">
              <a16:creationId xmlns:a16="http://schemas.microsoft.com/office/drawing/2014/main" id="{4242E891-AAD0-CE95-6A6D-4F90FC193C07}"/>
            </a:ext>
          </a:extLst>
        </xdr:cNvPr>
        <xdr:cNvSpPr txBox="1"/>
      </xdr:nvSpPr>
      <xdr:spPr>
        <a:xfrm>
          <a:off x="8100060" y="5189220"/>
          <a:ext cx="65532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C519AD-1640-42E6-B821-1F2FDF0A6DC8}" type="TxLink">
            <a:rPr lang="en-US" sz="3600" b="1" i="0" u="none" strike="noStrike">
              <a:ln>
                <a:solidFill>
                  <a:schemeClr val="bg1"/>
                </a:solidFill>
              </a:ln>
              <a:solidFill>
                <a:schemeClr val="bg1"/>
              </a:solidFill>
              <a:latin typeface="Aptos Narrow"/>
            </a:rPr>
            <a:pPr/>
            <a:t>8</a:t>
          </a:fld>
          <a:endParaRPr lang="en-US" sz="3600" b="1">
            <a:ln>
              <a:solidFill>
                <a:schemeClr val="bg1"/>
              </a:solidFill>
            </a:ln>
            <a:solidFill>
              <a:schemeClr val="bg1"/>
            </a:solidFill>
          </a:endParaRPr>
        </a:p>
      </xdr:txBody>
    </xdr:sp>
    <xdr:clientData/>
  </xdr:twoCellAnchor>
  <xdr:twoCellAnchor>
    <xdr:from>
      <xdr:col>7</xdr:col>
      <xdr:colOff>548640</xdr:colOff>
      <xdr:row>21</xdr:row>
      <xdr:rowOff>121920</xdr:rowOff>
    </xdr:from>
    <xdr:to>
      <xdr:col>9</xdr:col>
      <xdr:colOff>457200</xdr:colOff>
      <xdr:row>22</xdr:row>
      <xdr:rowOff>160020</xdr:rowOff>
    </xdr:to>
    <xdr:sp macro="" textlink="">
      <xdr:nvSpPr>
        <xdr:cNvPr id="26" name="TextBox 25">
          <a:extLst>
            <a:ext uri="{FF2B5EF4-FFF2-40B4-BE49-F238E27FC236}">
              <a16:creationId xmlns:a16="http://schemas.microsoft.com/office/drawing/2014/main" id="{3F22F774-4163-C6AD-A3BA-258006A6E3BB}"/>
            </a:ext>
          </a:extLst>
        </xdr:cNvPr>
        <xdr:cNvSpPr txBox="1"/>
      </xdr:nvSpPr>
      <xdr:spPr>
        <a:xfrm>
          <a:off x="4815840" y="3802380"/>
          <a:ext cx="1127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n>
                <a:solidFill>
                  <a:schemeClr val="bg1"/>
                </a:solidFill>
              </a:ln>
              <a:solidFill>
                <a:schemeClr val="bg1"/>
              </a:solidFill>
            </a:rPr>
            <a:t> Total Salaries </a:t>
          </a:r>
        </a:p>
      </xdr:txBody>
    </xdr:sp>
    <xdr:clientData/>
  </xdr:twoCellAnchor>
  <xdr:twoCellAnchor>
    <xdr:from>
      <xdr:col>7</xdr:col>
      <xdr:colOff>571500</xdr:colOff>
      <xdr:row>23</xdr:row>
      <xdr:rowOff>56388</xdr:rowOff>
    </xdr:from>
    <xdr:to>
      <xdr:col>9</xdr:col>
      <xdr:colOff>190500</xdr:colOff>
      <xdr:row>24</xdr:row>
      <xdr:rowOff>117348</xdr:rowOff>
    </xdr:to>
    <xdr:sp macro="" textlink="">
      <xdr:nvSpPr>
        <xdr:cNvPr id="27" name="TextBox 26">
          <a:extLst>
            <a:ext uri="{FF2B5EF4-FFF2-40B4-BE49-F238E27FC236}">
              <a16:creationId xmlns:a16="http://schemas.microsoft.com/office/drawing/2014/main" id="{4CDA9EF7-D650-2EAC-6732-AC8622F9B869}"/>
            </a:ext>
          </a:extLst>
        </xdr:cNvPr>
        <xdr:cNvSpPr txBox="1"/>
      </xdr:nvSpPr>
      <xdr:spPr>
        <a:xfrm>
          <a:off x="4838700" y="4087368"/>
          <a:ext cx="8382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1"/>
              </a:solidFill>
            </a:rPr>
            <a:t> Manager</a:t>
          </a:r>
        </a:p>
      </xdr:txBody>
    </xdr:sp>
    <xdr:clientData/>
  </xdr:twoCellAnchor>
  <xdr:twoCellAnchor>
    <xdr:from>
      <xdr:col>8</xdr:col>
      <xdr:colOff>15240</xdr:colOff>
      <xdr:row>25</xdr:row>
      <xdr:rowOff>13716</xdr:rowOff>
    </xdr:from>
    <xdr:to>
      <xdr:col>9</xdr:col>
      <xdr:colOff>495300</xdr:colOff>
      <xdr:row>26</xdr:row>
      <xdr:rowOff>74676</xdr:rowOff>
    </xdr:to>
    <xdr:sp macro="" textlink="">
      <xdr:nvSpPr>
        <xdr:cNvPr id="28" name="TextBox 27">
          <a:extLst>
            <a:ext uri="{FF2B5EF4-FFF2-40B4-BE49-F238E27FC236}">
              <a16:creationId xmlns:a16="http://schemas.microsoft.com/office/drawing/2014/main" id="{F7E7DCF5-E015-F2CE-E4F1-FF4482A6F457}"/>
            </a:ext>
          </a:extLst>
        </xdr:cNvPr>
        <xdr:cNvSpPr txBox="1"/>
      </xdr:nvSpPr>
      <xdr:spPr>
        <a:xfrm>
          <a:off x="4892040" y="4395216"/>
          <a:ext cx="10896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1"/>
              </a:solidFill>
            </a:rPr>
            <a:t>HR</a:t>
          </a:r>
          <a:r>
            <a:rPr lang="en-US" sz="1100" b="0" baseline="0">
              <a:ln>
                <a:solidFill>
                  <a:schemeClr val="bg1"/>
                </a:solidFill>
              </a:ln>
              <a:solidFill>
                <a:schemeClr val="bg1"/>
              </a:solidFill>
            </a:rPr>
            <a:t> Specialists</a:t>
          </a:r>
          <a:endParaRPr lang="en-US" sz="1100" b="0">
            <a:ln>
              <a:solidFill>
                <a:schemeClr val="bg1"/>
              </a:solidFill>
            </a:ln>
            <a:solidFill>
              <a:schemeClr val="bg1"/>
            </a:solidFill>
          </a:endParaRPr>
        </a:p>
      </xdr:txBody>
    </xdr:sp>
    <xdr:clientData/>
  </xdr:twoCellAnchor>
  <xdr:twoCellAnchor>
    <xdr:from>
      <xdr:col>8</xdr:col>
      <xdr:colOff>45720</xdr:colOff>
      <xdr:row>26</xdr:row>
      <xdr:rowOff>146304</xdr:rowOff>
    </xdr:from>
    <xdr:to>
      <xdr:col>9</xdr:col>
      <xdr:colOff>289560</xdr:colOff>
      <xdr:row>28</xdr:row>
      <xdr:rowOff>32004</xdr:rowOff>
    </xdr:to>
    <xdr:sp macro="" textlink="">
      <xdr:nvSpPr>
        <xdr:cNvPr id="29" name="TextBox 28">
          <a:extLst>
            <a:ext uri="{FF2B5EF4-FFF2-40B4-BE49-F238E27FC236}">
              <a16:creationId xmlns:a16="http://schemas.microsoft.com/office/drawing/2014/main" id="{CF4EA99B-773D-45E0-22B4-4A72C1DF25D7}"/>
            </a:ext>
          </a:extLst>
        </xdr:cNvPr>
        <xdr:cNvSpPr txBox="1"/>
      </xdr:nvSpPr>
      <xdr:spPr>
        <a:xfrm>
          <a:off x="4922520" y="4703064"/>
          <a:ext cx="8534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1"/>
              </a:solidFill>
            </a:rPr>
            <a:t>Developers</a:t>
          </a:r>
        </a:p>
      </xdr:txBody>
    </xdr:sp>
    <xdr:clientData/>
  </xdr:twoCellAnchor>
  <xdr:twoCellAnchor>
    <xdr:from>
      <xdr:col>8</xdr:col>
      <xdr:colOff>7620</xdr:colOff>
      <xdr:row>28</xdr:row>
      <xdr:rowOff>103632</xdr:rowOff>
    </xdr:from>
    <xdr:to>
      <xdr:col>9</xdr:col>
      <xdr:colOff>243840</xdr:colOff>
      <xdr:row>30</xdr:row>
      <xdr:rowOff>4572</xdr:rowOff>
    </xdr:to>
    <xdr:sp macro="" textlink="">
      <xdr:nvSpPr>
        <xdr:cNvPr id="30" name="TextBox 29">
          <a:extLst>
            <a:ext uri="{FF2B5EF4-FFF2-40B4-BE49-F238E27FC236}">
              <a16:creationId xmlns:a16="http://schemas.microsoft.com/office/drawing/2014/main" id="{CF27C181-1D19-B772-DB7C-90DD81D89CAC}"/>
            </a:ext>
          </a:extLst>
        </xdr:cNvPr>
        <xdr:cNvSpPr txBox="1"/>
      </xdr:nvSpPr>
      <xdr:spPr>
        <a:xfrm>
          <a:off x="4884420" y="5010912"/>
          <a:ext cx="8458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1"/>
              </a:solidFill>
            </a:rPr>
            <a:t>Designers</a:t>
          </a:r>
        </a:p>
      </xdr:txBody>
    </xdr:sp>
    <xdr:clientData/>
  </xdr:twoCellAnchor>
  <xdr:twoCellAnchor>
    <xdr:from>
      <xdr:col>8</xdr:col>
      <xdr:colOff>45720</xdr:colOff>
      <xdr:row>30</xdr:row>
      <xdr:rowOff>76200</xdr:rowOff>
    </xdr:from>
    <xdr:to>
      <xdr:col>9</xdr:col>
      <xdr:colOff>137160</xdr:colOff>
      <xdr:row>31</xdr:row>
      <xdr:rowOff>121920</xdr:rowOff>
    </xdr:to>
    <xdr:sp macro="" textlink="">
      <xdr:nvSpPr>
        <xdr:cNvPr id="31" name="TextBox 30">
          <a:extLst>
            <a:ext uri="{FF2B5EF4-FFF2-40B4-BE49-F238E27FC236}">
              <a16:creationId xmlns:a16="http://schemas.microsoft.com/office/drawing/2014/main" id="{8C69FBBA-9281-1BE9-7AE6-CCB4826B230A}"/>
            </a:ext>
          </a:extLst>
        </xdr:cNvPr>
        <xdr:cNvSpPr txBox="1"/>
      </xdr:nvSpPr>
      <xdr:spPr>
        <a:xfrm>
          <a:off x="4922520" y="5334000"/>
          <a:ext cx="7010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1"/>
              </a:solidFill>
            </a:rPr>
            <a:t>Analysts</a:t>
          </a:r>
        </a:p>
      </xdr:txBody>
    </xdr:sp>
    <xdr:clientData/>
  </xdr:twoCellAnchor>
  <xdr:twoCellAnchor>
    <xdr:from>
      <xdr:col>9</xdr:col>
      <xdr:colOff>491490</xdr:colOff>
      <xdr:row>21</xdr:row>
      <xdr:rowOff>129540</xdr:rowOff>
    </xdr:from>
    <xdr:to>
      <xdr:col>11</xdr:col>
      <xdr:colOff>400050</xdr:colOff>
      <xdr:row>22</xdr:row>
      <xdr:rowOff>167640</xdr:rowOff>
    </xdr:to>
    <xdr:sp macro="" textlink="'Pivot Table '!F17">
      <xdr:nvSpPr>
        <xdr:cNvPr id="32" name="TextBox 31">
          <a:extLst>
            <a:ext uri="{FF2B5EF4-FFF2-40B4-BE49-F238E27FC236}">
              <a16:creationId xmlns:a16="http://schemas.microsoft.com/office/drawing/2014/main" id="{DC34204F-939A-2DD1-5F72-1C10C11B4BC1}"/>
            </a:ext>
          </a:extLst>
        </xdr:cNvPr>
        <xdr:cNvSpPr txBox="1"/>
      </xdr:nvSpPr>
      <xdr:spPr>
        <a:xfrm>
          <a:off x="5977890" y="3810000"/>
          <a:ext cx="1127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02262C-5F49-4522-8478-D9553D372404}" type="TxLink">
            <a:rPr lang="en-US" sz="1200" b="1" i="0" u="none" strike="noStrike">
              <a:ln>
                <a:solidFill>
                  <a:schemeClr val="bg1"/>
                </a:solidFill>
              </a:ln>
              <a:solidFill>
                <a:schemeClr val="bg1"/>
              </a:solidFill>
              <a:latin typeface="Aptos Narrow"/>
            </a:rPr>
            <a:pPr algn="ctr"/>
            <a:t>32877</a:t>
          </a:fld>
          <a:endParaRPr lang="en-US" sz="1200" b="1">
            <a:ln>
              <a:solidFill>
                <a:schemeClr val="bg1"/>
              </a:solidFill>
            </a:ln>
            <a:solidFill>
              <a:schemeClr val="bg1"/>
            </a:solidFill>
          </a:endParaRPr>
        </a:p>
      </xdr:txBody>
    </xdr:sp>
    <xdr:clientData/>
  </xdr:twoCellAnchor>
  <xdr:twoCellAnchor>
    <xdr:from>
      <xdr:col>10</xdr:col>
      <xdr:colOff>26670</xdr:colOff>
      <xdr:row>23</xdr:row>
      <xdr:rowOff>56388</xdr:rowOff>
    </xdr:from>
    <xdr:to>
      <xdr:col>11</xdr:col>
      <xdr:colOff>255270</xdr:colOff>
      <xdr:row>24</xdr:row>
      <xdr:rowOff>117348</xdr:rowOff>
    </xdr:to>
    <xdr:sp macro="" textlink="'Pivot Table '!F16">
      <xdr:nvSpPr>
        <xdr:cNvPr id="33" name="TextBox 32">
          <a:extLst>
            <a:ext uri="{FF2B5EF4-FFF2-40B4-BE49-F238E27FC236}">
              <a16:creationId xmlns:a16="http://schemas.microsoft.com/office/drawing/2014/main" id="{B3ECD654-9A57-6AFD-30D6-C14FD550A23C}"/>
            </a:ext>
          </a:extLst>
        </xdr:cNvPr>
        <xdr:cNvSpPr txBox="1"/>
      </xdr:nvSpPr>
      <xdr:spPr>
        <a:xfrm>
          <a:off x="6122670" y="4087368"/>
          <a:ext cx="8382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19B4B1-C8F7-4D1B-BBC3-7E2EFC3C2F93}" type="TxLink">
            <a:rPr lang="en-US" sz="1100" b="0" i="0" u="none" strike="noStrike">
              <a:ln>
                <a:solidFill>
                  <a:schemeClr val="bg1"/>
                </a:solidFill>
              </a:ln>
              <a:solidFill>
                <a:schemeClr val="bg1"/>
              </a:solidFill>
              <a:latin typeface="Aptos Narrow"/>
            </a:rPr>
            <a:pPr algn="ctr"/>
            <a:t>0</a:t>
          </a:fld>
          <a:endParaRPr lang="en-US" sz="1100" b="0">
            <a:ln>
              <a:solidFill>
                <a:schemeClr val="bg1"/>
              </a:solidFill>
            </a:ln>
            <a:solidFill>
              <a:schemeClr val="bg1"/>
            </a:solidFill>
          </a:endParaRPr>
        </a:p>
      </xdr:txBody>
    </xdr:sp>
    <xdr:clientData/>
  </xdr:twoCellAnchor>
  <xdr:twoCellAnchor>
    <xdr:from>
      <xdr:col>9</xdr:col>
      <xdr:colOff>578168</xdr:colOff>
      <xdr:row>25</xdr:row>
      <xdr:rowOff>6096</xdr:rowOff>
    </xdr:from>
    <xdr:to>
      <xdr:col>11</xdr:col>
      <xdr:colOff>313373</xdr:colOff>
      <xdr:row>26</xdr:row>
      <xdr:rowOff>128016</xdr:rowOff>
    </xdr:to>
    <xdr:sp macro="" textlink="'Pivot Table '!F15">
      <xdr:nvSpPr>
        <xdr:cNvPr id="34" name="TextBox 33">
          <a:extLst>
            <a:ext uri="{FF2B5EF4-FFF2-40B4-BE49-F238E27FC236}">
              <a16:creationId xmlns:a16="http://schemas.microsoft.com/office/drawing/2014/main" id="{DB48B310-D66F-3447-9ED8-E69B84A7D422}"/>
            </a:ext>
          </a:extLst>
        </xdr:cNvPr>
        <xdr:cNvSpPr txBox="1"/>
      </xdr:nvSpPr>
      <xdr:spPr>
        <a:xfrm>
          <a:off x="6064568" y="4387596"/>
          <a:ext cx="95440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E698E5-4FC7-410E-9C3D-A2DEB87BE5D5}" type="TxLink">
            <a:rPr lang="en-US" sz="1100" b="0" i="0" u="none" strike="noStrike">
              <a:ln>
                <a:solidFill>
                  <a:schemeClr val="bg1"/>
                </a:solidFill>
              </a:ln>
              <a:solidFill>
                <a:schemeClr val="bg1"/>
              </a:solidFill>
              <a:latin typeface="Aptos Narrow"/>
            </a:rPr>
            <a:pPr algn="ctr"/>
            <a:t>0</a:t>
          </a:fld>
          <a:endParaRPr lang="en-US" sz="1100" b="0">
            <a:ln>
              <a:solidFill>
                <a:schemeClr val="bg1"/>
              </a:solidFill>
            </a:ln>
            <a:solidFill>
              <a:schemeClr val="bg1"/>
            </a:solidFill>
          </a:endParaRPr>
        </a:p>
      </xdr:txBody>
    </xdr:sp>
    <xdr:clientData/>
  </xdr:twoCellAnchor>
  <xdr:twoCellAnchor>
    <xdr:from>
      <xdr:col>10</xdr:col>
      <xdr:colOff>19050</xdr:colOff>
      <xdr:row>27</xdr:row>
      <xdr:rowOff>16764</xdr:rowOff>
    </xdr:from>
    <xdr:to>
      <xdr:col>11</xdr:col>
      <xdr:colOff>262890</xdr:colOff>
      <xdr:row>28</xdr:row>
      <xdr:rowOff>77724</xdr:rowOff>
    </xdr:to>
    <xdr:sp macro="" textlink="'Pivot Table '!F14">
      <xdr:nvSpPr>
        <xdr:cNvPr id="35" name="TextBox 34">
          <a:extLst>
            <a:ext uri="{FF2B5EF4-FFF2-40B4-BE49-F238E27FC236}">
              <a16:creationId xmlns:a16="http://schemas.microsoft.com/office/drawing/2014/main" id="{BC2A7DC2-3524-B7B8-96D7-A862AB4CAFE4}"/>
            </a:ext>
          </a:extLst>
        </xdr:cNvPr>
        <xdr:cNvSpPr txBox="1"/>
      </xdr:nvSpPr>
      <xdr:spPr>
        <a:xfrm>
          <a:off x="6115050" y="4748784"/>
          <a:ext cx="8534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1B8E24-3DA2-44F2-8C26-417681F37959}" type="TxLink">
            <a:rPr lang="en-US" sz="1100" b="0" i="0" u="none" strike="noStrike">
              <a:ln>
                <a:solidFill>
                  <a:schemeClr val="bg1"/>
                </a:solidFill>
              </a:ln>
              <a:solidFill>
                <a:schemeClr val="bg1"/>
              </a:solidFill>
              <a:latin typeface="Aptos Narrow"/>
            </a:rPr>
            <a:pPr algn="ctr"/>
            <a:t>0</a:t>
          </a:fld>
          <a:endParaRPr lang="en-US" sz="1100" b="0">
            <a:ln>
              <a:solidFill>
                <a:schemeClr val="bg1"/>
              </a:solidFill>
            </a:ln>
            <a:solidFill>
              <a:schemeClr val="bg1"/>
            </a:solidFill>
          </a:endParaRPr>
        </a:p>
      </xdr:txBody>
    </xdr:sp>
    <xdr:clientData/>
  </xdr:twoCellAnchor>
  <xdr:twoCellAnchor>
    <xdr:from>
      <xdr:col>10</xdr:col>
      <xdr:colOff>22860</xdr:colOff>
      <xdr:row>28</xdr:row>
      <xdr:rowOff>141732</xdr:rowOff>
    </xdr:from>
    <xdr:to>
      <xdr:col>11</xdr:col>
      <xdr:colOff>259080</xdr:colOff>
      <xdr:row>30</xdr:row>
      <xdr:rowOff>42672</xdr:rowOff>
    </xdr:to>
    <xdr:sp macro="" textlink="'Pivot Table '!F13">
      <xdr:nvSpPr>
        <xdr:cNvPr id="36" name="TextBox 35">
          <a:extLst>
            <a:ext uri="{FF2B5EF4-FFF2-40B4-BE49-F238E27FC236}">
              <a16:creationId xmlns:a16="http://schemas.microsoft.com/office/drawing/2014/main" id="{2AF3B959-E4AD-16AC-D1CC-F7669C315C26}"/>
            </a:ext>
          </a:extLst>
        </xdr:cNvPr>
        <xdr:cNvSpPr txBox="1"/>
      </xdr:nvSpPr>
      <xdr:spPr>
        <a:xfrm>
          <a:off x="6118860" y="5049012"/>
          <a:ext cx="8458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2D270E-AB96-4179-8D32-DE13CB0B052E}" type="TxLink">
            <a:rPr lang="en-US" sz="1100" b="0" i="0" u="none" strike="noStrike">
              <a:ln>
                <a:solidFill>
                  <a:schemeClr val="bg1"/>
                </a:solidFill>
              </a:ln>
              <a:solidFill>
                <a:schemeClr val="bg1"/>
              </a:solidFill>
              <a:latin typeface="Aptos Narrow"/>
            </a:rPr>
            <a:pPr algn="ctr"/>
            <a:t>32877</a:t>
          </a:fld>
          <a:endParaRPr lang="en-US" sz="1100" b="0">
            <a:ln>
              <a:solidFill>
                <a:schemeClr val="bg1"/>
              </a:solidFill>
            </a:ln>
            <a:solidFill>
              <a:schemeClr val="bg1"/>
            </a:solidFill>
          </a:endParaRPr>
        </a:p>
      </xdr:txBody>
    </xdr:sp>
    <xdr:clientData/>
  </xdr:twoCellAnchor>
  <xdr:twoCellAnchor>
    <xdr:from>
      <xdr:col>10</xdr:col>
      <xdr:colOff>95250</xdr:colOff>
      <xdr:row>30</xdr:row>
      <xdr:rowOff>106680</xdr:rowOff>
    </xdr:from>
    <xdr:to>
      <xdr:col>11</xdr:col>
      <xdr:colOff>186690</xdr:colOff>
      <xdr:row>31</xdr:row>
      <xdr:rowOff>152400</xdr:rowOff>
    </xdr:to>
    <xdr:sp macro="" textlink="'Pivot Table '!F12">
      <xdr:nvSpPr>
        <xdr:cNvPr id="37" name="TextBox 36">
          <a:extLst>
            <a:ext uri="{FF2B5EF4-FFF2-40B4-BE49-F238E27FC236}">
              <a16:creationId xmlns:a16="http://schemas.microsoft.com/office/drawing/2014/main" id="{87627700-5CDE-3D46-F5B4-9470FDD7C2E1}"/>
            </a:ext>
          </a:extLst>
        </xdr:cNvPr>
        <xdr:cNvSpPr txBox="1"/>
      </xdr:nvSpPr>
      <xdr:spPr>
        <a:xfrm>
          <a:off x="6191250" y="5364480"/>
          <a:ext cx="7010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1EB434-5F08-4709-AF28-6ADCEB6805E8}" type="TxLink">
            <a:rPr lang="en-US" sz="1100" b="0" i="0" u="none" strike="noStrike">
              <a:ln>
                <a:solidFill>
                  <a:schemeClr val="bg1"/>
                </a:solidFill>
              </a:ln>
              <a:solidFill>
                <a:schemeClr val="bg1"/>
              </a:solidFill>
              <a:latin typeface="Aptos Narrow"/>
            </a:rPr>
            <a:pPr algn="ctr"/>
            <a:t>0</a:t>
          </a:fld>
          <a:endParaRPr lang="en-US" sz="1100" b="0">
            <a:ln>
              <a:solidFill>
                <a:schemeClr val="bg1"/>
              </a:solidFill>
            </a:ln>
            <a:solidFill>
              <a:schemeClr val="bg1"/>
            </a:solidFill>
          </a:endParaRPr>
        </a:p>
      </xdr:txBody>
    </xdr:sp>
    <xdr:clientData/>
  </xdr:twoCellAnchor>
  <xdr:twoCellAnchor>
    <xdr:from>
      <xdr:col>7</xdr:col>
      <xdr:colOff>220980</xdr:colOff>
      <xdr:row>18</xdr:row>
      <xdr:rowOff>56388</xdr:rowOff>
    </xdr:from>
    <xdr:to>
      <xdr:col>9</xdr:col>
      <xdr:colOff>472440</xdr:colOff>
      <xdr:row>19</xdr:row>
      <xdr:rowOff>137160</xdr:rowOff>
    </xdr:to>
    <xdr:sp macro="" textlink="">
      <xdr:nvSpPr>
        <xdr:cNvPr id="50" name="TextBox 49">
          <a:extLst>
            <a:ext uri="{FF2B5EF4-FFF2-40B4-BE49-F238E27FC236}">
              <a16:creationId xmlns:a16="http://schemas.microsoft.com/office/drawing/2014/main" id="{E2EADE6B-AE41-1140-2732-3ECB16CACC07}"/>
            </a:ext>
          </a:extLst>
        </xdr:cNvPr>
        <xdr:cNvSpPr txBox="1"/>
      </xdr:nvSpPr>
      <xdr:spPr>
        <a:xfrm>
          <a:off x="4488180" y="3211068"/>
          <a:ext cx="1470660" cy="25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ln>
                <a:solidFill>
                  <a:schemeClr val="bg1"/>
                </a:solidFill>
              </a:ln>
              <a:solidFill>
                <a:srgbClr val="E5B244"/>
              </a:solidFill>
            </a:rPr>
            <a:t> </a:t>
          </a:r>
          <a:r>
            <a:rPr lang="en-US" sz="1800" b="0">
              <a:ln>
                <a:solidFill>
                  <a:srgbClr val="E5B244"/>
                </a:solidFill>
              </a:ln>
              <a:solidFill>
                <a:srgbClr val="E5B244"/>
              </a:solidFill>
            </a:rPr>
            <a:t>salaries</a:t>
          </a:r>
        </a:p>
      </xdr:txBody>
    </xdr:sp>
    <xdr:clientData/>
  </xdr:twoCellAnchor>
  <xdr:twoCellAnchor>
    <xdr:from>
      <xdr:col>7</xdr:col>
      <xdr:colOff>396240</xdr:colOff>
      <xdr:row>19</xdr:row>
      <xdr:rowOff>86868</xdr:rowOff>
    </xdr:from>
    <xdr:to>
      <xdr:col>10</xdr:col>
      <xdr:colOff>381000</xdr:colOff>
      <xdr:row>21</xdr:row>
      <xdr:rowOff>0</xdr:rowOff>
    </xdr:to>
    <xdr:sp macro="" textlink="">
      <xdr:nvSpPr>
        <xdr:cNvPr id="51" name="TextBox 50">
          <a:extLst>
            <a:ext uri="{FF2B5EF4-FFF2-40B4-BE49-F238E27FC236}">
              <a16:creationId xmlns:a16="http://schemas.microsoft.com/office/drawing/2014/main" id="{99280214-34A9-C2E6-8BAA-D4362BB2E854}"/>
            </a:ext>
          </a:extLst>
        </xdr:cNvPr>
        <xdr:cNvSpPr txBox="1"/>
      </xdr:nvSpPr>
      <xdr:spPr>
        <a:xfrm>
          <a:off x="4663440" y="3416808"/>
          <a:ext cx="1813560" cy="263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0">
              <a:ln>
                <a:solidFill>
                  <a:schemeClr val="bg1"/>
                </a:solidFill>
              </a:ln>
              <a:solidFill>
                <a:schemeClr val="bg2">
                  <a:lumMod val="75000"/>
                </a:schemeClr>
              </a:solidFill>
            </a:rPr>
            <a:t> </a:t>
          </a:r>
          <a:r>
            <a:rPr lang="en-US" sz="1000" b="0">
              <a:ln>
                <a:solidFill>
                  <a:schemeClr val="bg1"/>
                </a:solidFill>
              </a:ln>
              <a:solidFill>
                <a:schemeClr val="bg2">
                  <a:lumMod val="75000"/>
                </a:schemeClr>
              </a:solidFill>
            </a:rPr>
            <a:t>salaries Amount by job titles</a:t>
          </a:r>
          <a:endParaRPr lang="en-US" sz="900" b="0">
            <a:ln>
              <a:solidFill>
                <a:schemeClr val="bg1"/>
              </a:solidFill>
            </a:ln>
            <a:solidFill>
              <a:schemeClr val="bg2">
                <a:lumMod val="75000"/>
              </a:schemeClr>
            </a:solidFill>
          </a:endParaRPr>
        </a:p>
      </xdr:txBody>
    </xdr:sp>
    <xdr:clientData/>
  </xdr:twoCellAnchor>
  <xdr:twoCellAnchor>
    <xdr:from>
      <xdr:col>12</xdr:col>
      <xdr:colOff>76200</xdr:colOff>
      <xdr:row>17</xdr:row>
      <xdr:rowOff>56388</xdr:rowOff>
    </xdr:from>
    <xdr:to>
      <xdr:col>16</xdr:col>
      <xdr:colOff>541020</xdr:colOff>
      <xdr:row>19</xdr:row>
      <xdr:rowOff>60960</xdr:rowOff>
    </xdr:to>
    <xdr:sp macro="" textlink="">
      <xdr:nvSpPr>
        <xdr:cNvPr id="52" name="TextBox 51">
          <a:extLst>
            <a:ext uri="{FF2B5EF4-FFF2-40B4-BE49-F238E27FC236}">
              <a16:creationId xmlns:a16="http://schemas.microsoft.com/office/drawing/2014/main" id="{64E91267-C84C-D715-F5FD-2629BF513DF5}"/>
            </a:ext>
          </a:extLst>
        </xdr:cNvPr>
        <xdr:cNvSpPr txBox="1"/>
      </xdr:nvSpPr>
      <xdr:spPr>
        <a:xfrm>
          <a:off x="7391400" y="3035808"/>
          <a:ext cx="2903220" cy="355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ln>
                <a:solidFill>
                  <a:srgbClr val="E5B244"/>
                </a:solidFill>
              </a:ln>
              <a:solidFill>
                <a:srgbClr val="E5B244"/>
              </a:solidFill>
              <a:latin typeface="Arial Narrow" panose="020B0606020202030204" pitchFamily="34" charset="0"/>
            </a:rPr>
            <a:t>Employments</a:t>
          </a:r>
          <a:r>
            <a:rPr lang="en-US" sz="1600" b="0" baseline="0">
              <a:ln>
                <a:solidFill>
                  <a:srgbClr val="E5B244"/>
                </a:solidFill>
              </a:ln>
              <a:solidFill>
                <a:srgbClr val="E5B244"/>
              </a:solidFill>
              <a:latin typeface="Arial Narrow" panose="020B0606020202030204" pitchFamily="34" charset="0"/>
            </a:rPr>
            <a:t> </a:t>
          </a:r>
          <a:r>
            <a:rPr lang="en-US" sz="1400" b="0" baseline="0">
              <a:ln>
                <a:solidFill>
                  <a:srgbClr val="E5B244"/>
                </a:solidFill>
              </a:ln>
              <a:solidFill>
                <a:srgbClr val="E5B244"/>
              </a:solidFill>
              <a:latin typeface="Arial Narrow" panose="020B0606020202030204" pitchFamily="34" charset="0"/>
            </a:rPr>
            <a:t>status BreackDown</a:t>
          </a:r>
          <a:endParaRPr lang="en-US" sz="1600" b="0">
            <a:ln>
              <a:solidFill>
                <a:srgbClr val="E5B244"/>
              </a:solidFill>
            </a:ln>
            <a:solidFill>
              <a:srgbClr val="E5B244"/>
            </a:solidFill>
            <a:latin typeface="Arial Narrow" panose="020B0606020202030204" pitchFamily="34" charset="0"/>
          </a:endParaRPr>
        </a:p>
      </xdr:txBody>
    </xdr:sp>
    <xdr:clientData/>
  </xdr:twoCellAnchor>
  <xdr:twoCellAnchor>
    <xdr:from>
      <xdr:col>12</xdr:col>
      <xdr:colOff>7620</xdr:colOff>
      <xdr:row>18</xdr:row>
      <xdr:rowOff>106680</xdr:rowOff>
    </xdr:from>
    <xdr:to>
      <xdr:col>14</xdr:col>
      <xdr:colOff>335280</xdr:colOff>
      <xdr:row>26</xdr:row>
      <xdr:rowOff>106680</xdr:rowOff>
    </xdr:to>
    <xdr:graphicFrame macro="">
      <xdr:nvGraphicFramePr>
        <xdr:cNvPr id="53" name="Chart 52">
          <a:extLst>
            <a:ext uri="{FF2B5EF4-FFF2-40B4-BE49-F238E27FC236}">
              <a16:creationId xmlns:a16="http://schemas.microsoft.com/office/drawing/2014/main" id="{7E13F03E-464E-4B57-9703-E9E07F7B4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510540</xdr:colOff>
      <xdr:row>19</xdr:row>
      <xdr:rowOff>38100</xdr:rowOff>
    </xdr:from>
    <xdr:to>
      <xdr:col>16</xdr:col>
      <xdr:colOff>586740</xdr:colOff>
      <xdr:row>25</xdr:row>
      <xdr:rowOff>91440</xdr:rowOff>
    </xdr:to>
    <xdr:grpSp>
      <xdr:nvGrpSpPr>
        <xdr:cNvPr id="126" name="Group 125">
          <a:extLst>
            <a:ext uri="{FF2B5EF4-FFF2-40B4-BE49-F238E27FC236}">
              <a16:creationId xmlns:a16="http://schemas.microsoft.com/office/drawing/2014/main" id="{E18606D3-3CB7-8068-A316-5EE33F294CE9}"/>
            </a:ext>
          </a:extLst>
        </xdr:cNvPr>
        <xdr:cNvGrpSpPr/>
      </xdr:nvGrpSpPr>
      <xdr:grpSpPr>
        <a:xfrm>
          <a:off x="9044940" y="3512820"/>
          <a:ext cx="1295400" cy="1150620"/>
          <a:chOff x="9006840" y="3474720"/>
          <a:chExt cx="1295400" cy="1150620"/>
        </a:xfrm>
      </xdr:grpSpPr>
      <xdr:sp macro="" textlink="">
        <xdr:nvSpPr>
          <xdr:cNvPr id="20" name="TextBox 19">
            <a:extLst>
              <a:ext uri="{FF2B5EF4-FFF2-40B4-BE49-F238E27FC236}">
                <a16:creationId xmlns:a16="http://schemas.microsoft.com/office/drawing/2014/main" id="{6FF7C04D-8A0F-84B8-9F82-8F2C03868C0F}"/>
              </a:ext>
            </a:extLst>
          </xdr:cNvPr>
          <xdr:cNvSpPr txBox="1"/>
        </xdr:nvSpPr>
        <xdr:spPr>
          <a:xfrm>
            <a:off x="9006840" y="3474720"/>
            <a:ext cx="9677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chemeClr val="bg1"/>
                  </a:solidFill>
                </a:ln>
                <a:solidFill>
                  <a:schemeClr val="bg1"/>
                </a:solidFill>
              </a:rPr>
              <a:t>Part</a:t>
            </a:r>
          </a:p>
          <a:p>
            <a:r>
              <a:rPr lang="en-US" sz="1200" b="1">
                <a:ln>
                  <a:solidFill>
                    <a:schemeClr val="bg1"/>
                  </a:solidFill>
                </a:ln>
                <a:solidFill>
                  <a:schemeClr val="bg1"/>
                </a:solidFill>
              </a:rPr>
              <a:t> Time Employee's </a:t>
            </a:r>
          </a:p>
        </xdr:txBody>
      </xdr:sp>
      <xdr:sp macro="" textlink="'Pivot Table '!C12">
        <xdr:nvSpPr>
          <xdr:cNvPr id="21" name="TextBox 20">
            <a:extLst>
              <a:ext uri="{FF2B5EF4-FFF2-40B4-BE49-F238E27FC236}">
                <a16:creationId xmlns:a16="http://schemas.microsoft.com/office/drawing/2014/main" id="{A95B879B-980E-903E-26B6-DAC430708477}"/>
              </a:ext>
            </a:extLst>
          </xdr:cNvPr>
          <xdr:cNvSpPr txBox="1"/>
        </xdr:nvSpPr>
        <xdr:spPr>
          <a:xfrm>
            <a:off x="9646920" y="4038600"/>
            <a:ext cx="65532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AD41D4-8668-4F8B-A5B4-604BC1616E90}" type="TxLink">
              <a:rPr lang="en-US" sz="3600" b="1" i="0" u="none" strike="noStrike">
                <a:ln>
                  <a:solidFill>
                    <a:schemeClr val="bg1"/>
                  </a:solidFill>
                </a:ln>
                <a:solidFill>
                  <a:schemeClr val="bg1"/>
                </a:solidFill>
                <a:latin typeface="Aptos Narrow"/>
              </a:rPr>
              <a:pPr/>
              <a:t>8</a:t>
            </a:fld>
            <a:endParaRPr lang="en-US" sz="4000" b="1">
              <a:ln>
                <a:solidFill>
                  <a:schemeClr val="bg1"/>
                </a:solidFill>
              </a:ln>
              <a:solidFill>
                <a:schemeClr val="bg1"/>
              </a:solidFill>
            </a:endParaRPr>
          </a:p>
        </xdr:txBody>
      </xdr:sp>
      <xdr:sp macro="" textlink="">
        <xdr:nvSpPr>
          <xdr:cNvPr id="55" name="Oval 54">
            <a:extLst>
              <a:ext uri="{FF2B5EF4-FFF2-40B4-BE49-F238E27FC236}">
                <a16:creationId xmlns:a16="http://schemas.microsoft.com/office/drawing/2014/main" id="{987E3377-EEDC-E118-A6D9-F692045BF32A}"/>
              </a:ext>
            </a:extLst>
          </xdr:cNvPr>
          <xdr:cNvSpPr/>
        </xdr:nvSpPr>
        <xdr:spPr>
          <a:xfrm>
            <a:off x="10012680" y="3543300"/>
            <a:ext cx="220980" cy="2286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571500</xdr:colOff>
      <xdr:row>26</xdr:row>
      <xdr:rowOff>91440</xdr:rowOff>
    </xdr:from>
    <xdr:to>
      <xdr:col>14</xdr:col>
      <xdr:colOff>182880</xdr:colOff>
      <xdr:row>27</xdr:row>
      <xdr:rowOff>137160</xdr:rowOff>
    </xdr:to>
    <xdr:sp macro="" textlink="">
      <xdr:nvSpPr>
        <xdr:cNvPr id="56" name="Oval 55">
          <a:extLst>
            <a:ext uri="{FF2B5EF4-FFF2-40B4-BE49-F238E27FC236}">
              <a16:creationId xmlns:a16="http://schemas.microsoft.com/office/drawing/2014/main" id="{C1E3906B-4560-34D3-E7D0-0CD03D224528}"/>
            </a:ext>
          </a:extLst>
        </xdr:cNvPr>
        <xdr:cNvSpPr/>
      </xdr:nvSpPr>
      <xdr:spPr>
        <a:xfrm>
          <a:off x="8496300" y="4648200"/>
          <a:ext cx="220980" cy="220980"/>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26</xdr:row>
      <xdr:rowOff>91440</xdr:rowOff>
    </xdr:from>
    <xdr:to>
      <xdr:col>16</xdr:col>
      <xdr:colOff>525780</xdr:colOff>
      <xdr:row>27</xdr:row>
      <xdr:rowOff>137160</xdr:rowOff>
    </xdr:to>
    <xdr:sp macro="" textlink="">
      <xdr:nvSpPr>
        <xdr:cNvPr id="57" name="Oval 56">
          <a:extLst>
            <a:ext uri="{FF2B5EF4-FFF2-40B4-BE49-F238E27FC236}">
              <a16:creationId xmlns:a16="http://schemas.microsoft.com/office/drawing/2014/main" id="{F585201B-CAB7-36CB-2658-9F0608BFF130}"/>
            </a:ext>
          </a:extLst>
        </xdr:cNvPr>
        <xdr:cNvSpPr/>
      </xdr:nvSpPr>
      <xdr:spPr>
        <a:xfrm>
          <a:off x="10058400" y="4648200"/>
          <a:ext cx="220980" cy="220980"/>
        </a:xfrm>
        <a:prstGeom prst="ellipse">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301971</xdr:colOff>
      <xdr:row>22</xdr:row>
      <xdr:rowOff>124346</xdr:rowOff>
    </xdr:from>
    <xdr:to>
      <xdr:col>7</xdr:col>
      <xdr:colOff>345729</xdr:colOff>
      <xdr:row>33</xdr:row>
      <xdr:rowOff>104254</xdr:rowOff>
    </xdr:to>
    <xdr:graphicFrame macro="">
      <xdr:nvGraphicFramePr>
        <xdr:cNvPr id="58" name="Chart 57">
          <a:extLst>
            <a:ext uri="{FF2B5EF4-FFF2-40B4-BE49-F238E27FC236}">
              <a16:creationId xmlns:a16="http://schemas.microsoft.com/office/drawing/2014/main" id="{AB7A7F93-5874-47E2-BE5C-4831D3A22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xdr:colOff>
      <xdr:row>19</xdr:row>
      <xdr:rowOff>170688</xdr:rowOff>
    </xdr:from>
    <xdr:to>
      <xdr:col>5</xdr:col>
      <xdr:colOff>320040</xdr:colOff>
      <xdr:row>21</xdr:row>
      <xdr:rowOff>76200</xdr:rowOff>
    </xdr:to>
    <xdr:sp macro="" textlink="">
      <xdr:nvSpPr>
        <xdr:cNvPr id="59" name="TextBox 58">
          <a:extLst>
            <a:ext uri="{FF2B5EF4-FFF2-40B4-BE49-F238E27FC236}">
              <a16:creationId xmlns:a16="http://schemas.microsoft.com/office/drawing/2014/main" id="{3B27F8D2-B64E-F481-63F0-58257E9D47A5}"/>
            </a:ext>
          </a:extLst>
        </xdr:cNvPr>
        <xdr:cNvSpPr txBox="1"/>
      </xdr:nvSpPr>
      <xdr:spPr>
        <a:xfrm>
          <a:off x="1897380" y="3500628"/>
          <a:ext cx="1470660" cy="25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n>
                <a:solidFill>
                  <a:srgbClr val="E5B244"/>
                </a:solidFill>
              </a:ln>
              <a:solidFill>
                <a:srgbClr val="E5B244"/>
              </a:solidFill>
            </a:rPr>
            <a:t>Age</a:t>
          </a:r>
          <a:r>
            <a:rPr lang="en-US" sz="1200" b="0" baseline="0">
              <a:ln>
                <a:solidFill>
                  <a:srgbClr val="E5B244"/>
                </a:solidFill>
              </a:ln>
              <a:solidFill>
                <a:srgbClr val="E5B244"/>
              </a:solidFill>
            </a:rPr>
            <a:t> Range</a:t>
          </a:r>
          <a:endParaRPr lang="en-US" sz="1800" b="0">
            <a:ln>
              <a:solidFill>
                <a:srgbClr val="E5B244"/>
              </a:solidFill>
            </a:ln>
            <a:solidFill>
              <a:srgbClr val="E5B244"/>
            </a:solidFill>
          </a:endParaRPr>
        </a:p>
      </xdr:txBody>
    </xdr:sp>
    <xdr:clientData/>
  </xdr:twoCellAnchor>
  <xdr:twoCellAnchor>
    <xdr:from>
      <xdr:col>3</xdr:col>
      <xdr:colOff>304800</xdr:colOff>
      <xdr:row>20</xdr:row>
      <xdr:rowOff>163068</xdr:rowOff>
    </xdr:from>
    <xdr:to>
      <xdr:col>6</xdr:col>
      <xdr:colOff>297180</xdr:colOff>
      <xdr:row>23</xdr:row>
      <xdr:rowOff>38100</xdr:rowOff>
    </xdr:to>
    <xdr:sp macro="" textlink="">
      <xdr:nvSpPr>
        <xdr:cNvPr id="60" name="TextBox 59">
          <a:extLst>
            <a:ext uri="{FF2B5EF4-FFF2-40B4-BE49-F238E27FC236}">
              <a16:creationId xmlns:a16="http://schemas.microsoft.com/office/drawing/2014/main" id="{40BE794A-DEAE-2B56-2376-368F6EA9F2E2}"/>
            </a:ext>
          </a:extLst>
        </xdr:cNvPr>
        <xdr:cNvSpPr txBox="1"/>
      </xdr:nvSpPr>
      <xdr:spPr>
        <a:xfrm>
          <a:off x="2133600" y="3668268"/>
          <a:ext cx="1821180" cy="400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a:ln>
                <a:solidFill>
                  <a:schemeClr val="bg1"/>
                </a:solidFill>
              </a:ln>
              <a:solidFill>
                <a:schemeClr val="bg2">
                  <a:lumMod val="75000"/>
                </a:schemeClr>
              </a:solidFill>
              <a:latin typeface="+mj-lt"/>
            </a:rPr>
            <a:t>No.</a:t>
          </a:r>
          <a:r>
            <a:rPr lang="en-US" sz="800" b="0" baseline="0">
              <a:ln>
                <a:solidFill>
                  <a:schemeClr val="bg1"/>
                </a:solidFill>
              </a:ln>
              <a:solidFill>
                <a:schemeClr val="bg2">
                  <a:lumMod val="75000"/>
                </a:schemeClr>
              </a:solidFill>
              <a:latin typeface="+mj-lt"/>
            </a:rPr>
            <a:t> of employees according to age </a:t>
          </a:r>
        </a:p>
        <a:p>
          <a:pPr algn="l"/>
          <a:r>
            <a:rPr lang="en-US" sz="800" b="0" baseline="0">
              <a:ln>
                <a:solidFill>
                  <a:schemeClr val="bg1"/>
                </a:solidFill>
              </a:ln>
              <a:solidFill>
                <a:schemeClr val="bg2">
                  <a:lumMod val="75000"/>
                </a:schemeClr>
              </a:solidFill>
              <a:latin typeface="+mj-lt"/>
            </a:rPr>
            <a:t>ranges and genders</a:t>
          </a:r>
          <a:endParaRPr lang="en-US" sz="800" b="0">
            <a:ln>
              <a:solidFill>
                <a:schemeClr val="bg1"/>
              </a:solidFill>
            </a:ln>
            <a:solidFill>
              <a:schemeClr val="bg2">
                <a:lumMod val="75000"/>
              </a:schemeClr>
            </a:solidFill>
            <a:latin typeface="+mj-lt"/>
          </a:endParaRPr>
        </a:p>
      </xdr:txBody>
    </xdr:sp>
    <xdr:clientData/>
  </xdr:twoCellAnchor>
  <xdr:twoCellAnchor>
    <xdr:from>
      <xdr:col>6</xdr:col>
      <xdr:colOff>167640</xdr:colOff>
      <xdr:row>20</xdr:row>
      <xdr:rowOff>83820</xdr:rowOff>
    </xdr:from>
    <xdr:to>
      <xdr:col>6</xdr:col>
      <xdr:colOff>274320</xdr:colOff>
      <xdr:row>21</xdr:row>
      <xdr:rowOff>15240</xdr:rowOff>
    </xdr:to>
    <xdr:sp macro="" textlink="">
      <xdr:nvSpPr>
        <xdr:cNvPr id="61" name="Oval 60">
          <a:extLst>
            <a:ext uri="{FF2B5EF4-FFF2-40B4-BE49-F238E27FC236}">
              <a16:creationId xmlns:a16="http://schemas.microsoft.com/office/drawing/2014/main" id="{B1AABE4F-0D3D-159C-FE7D-1CDBA882536F}"/>
            </a:ext>
          </a:extLst>
        </xdr:cNvPr>
        <xdr:cNvSpPr/>
      </xdr:nvSpPr>
      <xdr:spPr>
        <a:xfrm>
          <a:off x="3825240" y="3589020"/>
          <a:ext cx="106680" cy="106680"/>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22</xdr:row>
      <xdr:rowOff>0</xdr:rowOff>
    </xdr:from>
    <xdr:to>
      <xdr:col>6</xdr:col>
      <xdr:colOff>259080</xdr:colOff>
      <xdr:row>22</xdr:row>
      <xdr:rowOff>106680</xdr:rowOff>
    </xdr:to>
    <xdr:sp macro="" textlink="">
      <xdr:nvSpPr>
        <xdr:cNvPr id="62" name="Oval 61">
          <a:extLst>
            <a:ext uri="{FF2B5EF4-FFF2-40B4-BE49-F238E27FC236}">
              <a16:creationId xmlns:a16="http://schemas.microsoft.com/office/drawing/2014/main" id="{7665FB19-4C2B-FBCA-6F1A-7BAC78D914FD}"/>
            </a:ext>
          </a:extLst>
        </xdr:cNvPr>
        <xdr:cNvSpPr/>
      </xdr:nvSpPr>
      <xdr:spPr>
        <a:xfrm>
          <a:off x="3810000" y="3855720"/>
          <a:ext cx="106680" cy="106680"/>
        </a:xfrm>
        <a:prstGeom prst="ellipse">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90000"/>
              </a:schemeClr>
            </a:solidFill>
          </a:endParaRPr>
        </a:p>
      </xdr:txBody>
    </xdr:sp>
    <xdr:clientData/>
  </xdr:twoCellAnchor>
  <xdr:twoCellAnchor>
    <xdr:from>
      <xdr:col>6</xdr:col>
      <xdr:colOff>182880</xdr:colOff>
      <xdr:row>20</xdr:row>
      <xdr:rowOff>41148</xdr:rowOff>
    </xdr:from>
    <xdr:to>
      <xdr:col>7</xdr:col>
      <xdr:colOff>388620</xdr:colOff>
      <xdr:row>21</xdr:row>
      <xdr:rowOff>68580</xdr:rowOff>
    </xdr:to>
    <xdr:sp macro="" textlink="">
      <xdr:nvSpPr>
        <xdr:cNvPr id="63" name="TextBox 62">
          <a:extLst>
            <a:ext uri="{FF2B5EF4-FFF2-40B4-BE49-F238E27FC236}">
              <a16:creationId xmlns:a16="http://schemas.microsoft.com/office/drawing/2014/main" id="{572DD9B4-A573-2F78-D212-0A33FE83547D}"/>
            </a:ext>
          </a:extLst>
        </xdr:cNvPr>
        <xdr:cNvSpPr txBox="1"/>
      </xdr:nvSpPr>
      <xdr:spPr>
        <a:xfrm>
          <a:off x="3840480" y="3546348"/>
          <a:ext cx="815340" cy="202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rgbClr val="E5B244"/>
              </a:solidFill>
            </a:rPr>
            <a:t>Females</a:t>
          </a:r>
          <a:endParaRPr lang="en-US" sz="1400" b="0">
            <a:ln>
              <a:solidFill>
                <a:schemeClr val="bg1"/>
              </a:solidFill>
            </a:ln>
            <a:solidFill>
              <a:srgbClr val="E5B244"/>
            </a:solidFill>
          </a:endParaRPr>
        </a:p>
      </xdr:txBody>
    </xdr:sp>
    <xdr:clientData/>
  </xdr:twoCellAnchor>
  <xdr:twoCellAnchor>
    <xdr:from>
      <xdr:col>6</xdr:col>
      <xdr:colOff>182880</xdr:colOff>
      <xdr:row>21</xdr:row>
      <xdr:rowOff>117348</xdr:rowOff>
    </xdr:from>
    <xdr:to>
      <xdr:col>7</xdr:col>
      <xdr:colOff>220980</xdr:colOff>
      <xdr:row>22</xdr:row>
      <xdr:rowOff>160020</xdr:rowOff>
    </xdr:to>
    <xdr:sp macro="" textlink="">
      <xdr:nvSpPr>
        <xdr:cNvPr id="64" name="TextBox 63">
          <a:extLst>
            <a:ext uri="{FF2B5EF4-FFF2-40B4-BE49-F238E27FC236}">
              <a16:creationId xmlns:a16="http://schemas.microsoft.com/office/drawing/2014/main" id="{591AC382-6F7F-ED97-7148-27715F67F225}"/>
            </a:ext>
          </a:extLst>
        </xdr:cNvPr>
        <xdr:cNvSpPr txBox="1"/>
      </xdr:nvSpPr>
      <xdr:spPr>
        <a:xfrm>
          <a:off x="3840480" y="3797808"/>
          <a:ext cx="647700" cy="21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2">
                  <a:lumMod val="90000"/>
                </a:schemeClr>
              </a:solidFill>
            </a:rPr>
            <a:t>Males</a:t>
          </a:r>
          <a:endParaRPr lang="en-US" sz="1400" b="0">
            <a:ln>
              <a:solidFill>
                <a:schemeClr val="bg1"/>
              </a:solidFill>
            </a:ln>
            <a:solidFill>
              <a:schemeClr val="bg2">
                <a:lumMod val="90000"/>
              </a:schemeClr>
            </a:solidFill>
          </a:endParaRPr>
        </a:p>
      </xdr:txBody>
    </xdr:sp>
    <xdr:clientData/>
  </xdr:twoCellAnchor>
  <xdr:twoCellAnchor>
    <xdr:from>
      <xdr:col>0</xdr:col>
      <xdr:colOff>152400</xdr:colOff>
      <xdr:row>25</xdr:row>
      <xdr:rowOff>128321</xdr:rowOff>
    </xdr:from>
    <xdr:to>
      <xdr:col>3</xdr:col>
      <xdr:colOff>297180</xdr:colOff>
      <xdr:row>28</xdr:row>
      <xdr:rowOff>120701</xdr:rowOff>
    </xdr:to>
    <xdr:graphicFrame macro="">
      <xdr:nvGraphicFramePr>
        <xdr:cNvPr id="65" name="Chart 64">
          <a:extLst>
            <a:ext uri="{FF2B5EF4-FFF2-40B4-BE49-F238E27FC236}">
              <a16:creationId xmlns:a16="http://schemas.microsoft.com/office/drawing/2014/main" id="{403F35F8-4122-45D2-8F15-9097C610D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28</xdr:row>
      <xdr:rowOff>43587</xdr:rowOff>
    </xdr:from>
    <xdr:to>
      <xdr:col>3</xdr:col>
      <xdr:colOff>298704</xdr:colOff>
      <xdr:row>31</xdr:row>
      <xdr:rowOff>39015</xdr:rowOff>
    </xdr:to>
    <xdr:graphicFrame macro="">
      <xdr:nvGraphicFramePr>
        <xdr:cNvPr id="66" name="Chart 65">
          <a:extLst>
            <a:ext uri="{FF2B5EF4-FFF2-40B4-BE49-F238E27FC236}">
              <a16:creationId xmlns:a16="http://schemas.microsoft.com/office/drawing/2014/main" id="{EA400513-AF24-411C-B962-369C9C2E5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30</xdr:row>
      <xdr:rowOff>137160</xdr:rowOff>
    </xdr:from>
    <xdr:to>
      <xdr:col>3</xdr:col>
      <xdr:colOff>298704</xdr:colOff>
      <xdr:row>33</xdr:row>
      <xdr:rowOff>132588</xdr:rowOff>
    </xdr:to>
    <xdr:graphicFrame macro="">
      <xdr:nvGraphicFramePr>
        <xdr:cNvPr id="67" name="Chart 66">
          <a:extLst>
            <a:ext uri="{FF2B5EF4-FFF2-40B4-BE49-F238E27FC236}">
              <a16:creationId xmlns:a16="http://schemas.microsoft.com/office/drawing/2014/main" id="{22A2F17C-53C8-41EA-BEAF-DA7B2FD0B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182880</xdr:colOff>
      <xdr:row>25</xdr:row>
      <xdr:rowOff>91440</xdr:rowOff>
    </xdr:from>
    <xdr:to>
      <xdr:col>2</xdr:col>
      <xdr:colOff>22860</xdr:colOff>
      <xdr:row>26</xdr:row>
      <xdr:rowOff>163068</xdr:rowOff>
    </xdr:to>
    <xdr:sp macro="" textlink="">
      <xdr:nvSpPr>
        <xdr:cNvPr id="68" name="TextBox 67">
          <a:extLst>
            <a:ext uri="{FF2B5EF4-FFF2-40B4-BE49-F238E27FC236}">
              <a16:creationId xmlns:a16="http://schemas.microsoft.com/office/drawing/2014/main" id="{06C5F775-BFFF-4147-BBB4-3934FC481498}"/>
            </a:ext>
          </a:extLst>
        </xdr:cNvPr>
        <xdr:cNvSpPr txBox="1"/>
      </xdr:nvSpPr>
      <xdr:spPr>
        <a:xfrm>
          <a:off x="182880" y="4472940"/>
          <a:ext cx="1059180" cy="24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ln>
                <a:solidFill>
                  <a:schemeClr val="bg1"/>
                </a:solidFill>
              </a:ln>
              <a:solidFill>
                <a:schemeClr val="bg1"/>
              </a:solidFill>
            </a:rPr>
            <a:t>Branch</a:t>
          </a:r>
          <a:r>
            <a:rPr lang="en-US" sz="1100" b="0" baseline="0">
              <a:ln>
                <a:solidFill>
                  <a:schemeClr val="bg1"/>
                </a:solidFill>
              </a:ln>
              <a:solidFill>
                <a:schemeClr val="bg1"/>
              </a:solidFill>
            </a:rPr>
            <a:t> Office</a:t>
          </a:r>
          <a:endParaRPr lang="en-US" sz="1100" b="0">
            <a:ln>
              <a:solidFill>
                <a:schemeClr val="bg1"/>
              </a:solidFill>
            </a:ln>
            <a:solidFill>
              <a:schemeClr val="bg1"/>
            </a:solidFill>
          </a:endParaRPr>
        </a:p>
      </xdr:txBody>
    </xdr:sp>
    <xdr:clientData/>
  </xdr:twoCellAnchor>
  <xdr:twoCellAnchor>
    <xdr:from>
      <xdr:col>0</xdr:col>
      <xdr:colOff>213360</xdr:colOff>
      <xdr:row>28</xdr:row>
      <xdr:rowOff>32614</xdr:rowOff>
    </xdr:from>
    <xdr:to>
      <xdr:col>2</xdr:col>
      <xdr:colOff>83820</xdr:colOff>
      <xdr:row>29</xdr:row>
      <xdr:rowOff>93574</xdr:rowOff>
    </xdr:to>
    <xdr:sp macro="" textlink="">
      <xdr:nvSpPr>
        <xdr:cNvPr id="69" name="TextBox 68">
          <a:extLst>
            <a:ext uri="{FF2B5EF4-FFF2-40B4-BE49-F238E27FC236}">
              <a16:creationId xmlns:a16="http://schemas.microsoft.com/office/drawing/2014/main" id="{1CEE56B1-6D49-D84C-0343-E3BCFACAADD0}"/>
            </a:ext>
          </a:extLst>
        </xdr:cNvPr>
        <xdr:cNvSpPr txBox="1"/>
      </xdr:nvSpPr>
      <xdr:spPr>
        <a:xfrm>
          <a:off x="213360" y="4939894"/>
          <a:ext cx="10896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ln>
                <a:solidFill>
                  <a:schemeClr val="bg1"/>
                </a:solidFill>
              </a:ln>
              <a:solidFill>
                <a:schemeClr val="bg1"/>
              </a:solidFill>
            </a:rPr>
            <a:t>Head</a:t>
          </a:r>
          <a:r>
            <a:rPr lang="en-US" sz="1100" b="0" baseline="0">
              <a:ln>
                <a:solidFill>
                  <a:schemeClr val="bg1"/>
                </a:solidFill>
              </a:ln>
              <a:solidFill>
                <a:schemeClr val="bg1"/>
              </a:solidFill>
            </a:rPr>
            <a:t> Office </a:t>
          </a:r>
          <a:endParaRPr lang="en-US" sz="1100" b="0">
            <a:ln>
              <a:solidFill>
                <a:schemeClr val="bg1"/>
              </a:solidFill>
            </a:ln>
            <a:solidFill>
              <a:schemeClr val="bg1"/>
            </a:solidFill>
          </a:endParaRPr>
        </a:p>
      </xdr:txBody>
    </xdr:sp>
    <xdr:clientData/>
  </xdr:twoCellAnchor>
  <xdr:twoCellAnchor>
    <xdr:from>
      <xdr:col>0</xdr:col>
      <xdr:colOff>228600</xdr:colOff>
      <xdr:row>30</xdr:row>
      <xdr:rowOff>118568</xdr:rowOff>
    </xdr:from>
    <xdr:to>
      <xdr:col>1</xdr:col>
      <xdr:colOff>472440</xdr:colOff>
      <xdr:row>32</xdr:row>
      <xdr:rowOff>4268</xdr:rowOff>
    </xdr:to>
    <xdr:sp macro="" textlink="">
      <xdr:nvSpPr>
        <xdr:cNvPr id="70" name="TextBox 69">
          <a:extLst>
            <a:ext uri="{FF2B5EF4-FFF2-40B4-BE49-F238E27FC236}">
              <a16:creationId xmlns:a16="http://schemas.microsoft.com/office/drawing/2014/main" id="{F91DBB69-0C8E-B6CF-E877-2F40063E40D5}"/>
            </a:ext>
          </a:extLst>
        </xdr:cNvPr>
        <xdr:cNvSpPr txBox="1"/>
      </xdr:nvSpPr>
      <xdr:spPr>
        <a:xfrm>
          <a:off x="228600" y="5376368"/>
          <a:ext cx="8534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ln>
                <a:solidFill>
                  <a:schemeClr val="bg1"/>
                </a:solidFill>
              </a:ln>
              <a:solidFill>
                <a:schemeClr val="bg1"/>
              </a:solidFill>
            </a:rPr>
            <a:t>Developers</a:t>
          </a:r>
        </a:p>
      </xdr:txBody>
    </xdr:sp>
    <xdr:clientData/>
  </xdr:twoCellAnchor>
  <xdr:twoCellAnchor>
    <xdr:from>
      <xdr:col>0</xdr:col>
      <xdr:colOff>144780</xdr:colOff>
      <xdr:row>23</xdr:row>
      <xdr:rowOff>18288</xdr:rowOff>
    </xdr:from>
    <xdr:to>
      <xdr:col>2</xdr:col>
      <xdr:colOff>220980</xdr:colOff>
      <xdr:row>24</xdr:row>
      <xdr:rowOff>99060</xdr:rowOff>
    </xdr:to>
    <xdr:sp macro="" textlink="">
      <xdr:nvSpPr>
        <xdr:cNvPr id="14" name="TextBox 13">
          <a:extLst>
            <a:ext uri="{FF2B5EF4-FFF2-40B4-BE49-F238E27FC236}">
              <a16:creationId xmlns:a16="http://schemas.microsoft.com/office/drawing/2014/main" id="{6F36AF18-8439-E56B-89AF-47BE4CC5CB08}"/>
            </a:ext>
          </a:extLst>
        </xdr:cNvPr>
        <xdr:cNvSpPr txBox="1"/>
      </xdr:nvSpPr>
      <xdr:spPr>
        <a:xfrm>
          <a:off x="144780" y="4049268"/>
          <a:ext cx="1295400" cy="25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ln>
                <a:solidFill>
                  <a:srgbClr val="E5B244"/>
                </a:solidFill>
              </a:ln>
              <a:solidFill>
                <a:srgbClr val="E5B244"/>
              </a:solidFill>
            </a:rPr>
            <a:t>Work</a:t>
          </a:r>
          <a:r>
            <a:rPr lang="en-US" sz="1400" b="0" baseline="0">
              <a:ln>
                <a:solidFill>
                  <a:srgbClr val="E5B244"/>
                </a:solidFill>
              </a:ln>
              <a:solidFill>
                <a:srgbClr val="E5B244"/>
              </a:solidFill>
            </a:rPr>
            <a:t> Location</a:t>
          </a:r>
          <a:r>
            <a:rPr lang="en-US" sz="1200" b="0" baseline="0">
              <a:ln>
                <a:solidFill>
                  <a:srgbClr val="E5B244"/>
                </a:solidFill>
              </a:ln>
              <a:solidFill>
                <a:srgbClr val="E5B244"/>
              </a:solidFill>
            </a:rPr>
            <a:t> </a:t>
          </a:r>
          <a:endParaRPr lang="en-US" sz="1800" b="0">
            <a:ln>
              <a:solidFill>
                <a:srgbClr val="E5B244"/>
              </a:solidFill>
            </a:ln>
            <a:solidFill>
              <a:srgbClr val="E5B244"/>
            </a:solidFill>
          </a:endParaRPr>
        </a:p>
      </xdr:txBody>
    </xdr:sp>
    <xdr:clientData/>
  </xdr:twoCellAnchor>
  <xdr:twoCellAnchor>
    <xdr:from>
      <xdr:col>0</xdr:col>
      <xdr:colOff>213360</xdr:colOff>
      <xdr:row>23</xdr:row>
      <xdr:rowOff>147828</xdr:rowOff>
    </xdr:from>
    <xdr:to>
      <xdr:col>2</xdr:col>
      <xdr:colOff>548640</xdr:colOff>
      <xdr:row>25</xdr:row>
      <xdr:rowOff>144780</xdr:rowOff>
    </xdr:to>
    <xdr:sp macro="" textlink="">
      <xdr:nvSpPr>
        <xdr:cNvPr id="19" name="TextBox 18">
          <a:extLst>
            <a:ext uri="{FF2B5EF4-FFF2-40B4-BE49-F238E27FC236}">
              <a16:creationId xmlns:a16="http://schemas.microsoft.com/office/drawing/2014/main" id="{48ABA407-6E2F-1206-C369-887F7E8A63CB}"/>
            </a:ext>
          </a:extLst>
        </xdr:cNvPr>
        <xdr:cNvSpPr txBox="1"/>
      </xdr:nvSpPr>
      <xdr:spPr>
        <a:xfrm>
          <a:off x="213360" y="4178808"/>
          <a:ext cx="1554480" cy="347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0" baseline="0">
              <a:ln>
                <a:solidFill>
                  <a:schemeClr val="bg1"/>
                </a:solidFill>
              </a:ln>
              <a:solidFill>
                <a:schemeClr val="bg2">
                  <a:lumMod val="50000"/>
                </a:schemeClr>
              </a:solidFill>
              <a:latin typeface="+mj-lt"/>
            </a:rPr>
            <a:t>Employees to </a:t>
          </a:r>
          <a:r>
            <a:rPr lang="en-US" sz="1000" b="1" baseline="0">
              <a:ln>
                <a:solidFill>
                  <a:schemeClr val="bg1"/>
                </a:solidFill>
              </a:ln>
              <a:solidFill>
                <a:schemeClr val="bg2">
                  <a:lumMod val="50000"/>
                </a:schemeClr>
              </a:solidFill>
              <a:latin typeface="+mj-lt"/>
            </a:rPr>
            <a:t>workplace</a:t>
          </a:r>
          <a:endParaRPr lang="en-US" sz="900" b="1" baseline="0">
            <a:ln>
              <a:solidFill>
                <a:schemeClr val="bg1"/>
              </a:solidFill>
            </a:ln>
            <a:solidFill>
              <a:schemeClr val="bg2">
                <a:lumMod val="50000"/>
              </a:schemeClr>
            </a:solidFill>
            <a:latin typeface="+mj-lt"/>
          </a:endParaRPr>
        </a:p>
      </xdr:txBody>
    </xdr:sp>
    <xdr:clientData/>
  </xdr:twoCellAnchor>
  <xdr:twoCellAnchor>
    <xdr:from>
      <xdr:col>0</xdr:col>
      <xdr:colOff>160020</xdr:colOff>
      <xdr:row>6</xdr:row>
      <xdr:rowOff>106680</xdr:rowOff>
    </xdr:from>
    <xdr:to>
      <xdr:col>3</xdr:col>
      <xdr:colOff>269700</xdr:colOff>
      <xdr:row>22</xdr:row>
      <xdr:rowOff>153360</xdr:rowOff>
    </xdr:to>
    <xdr:grpSp>
      <xdr:nvGrpSpPr>
        <xdr:cNvPr id="94" name="Group 93">
          <a:extLst>
            <a:ext uri="{FF2B5EF4-FFF2-40B4-BE49-F238E27FC236}">
              <a16:creationId xmlns:a16="http://schemas.microsoft.com/office/drawing/2014/main" id="{B51109F4-FD96-4C3A-12CA-07762259E5B2}"/>
            </a:ext>
          </a:extLst>
        </xdr:cNvPr>
        <xdr:cNvGrpSpPr/>
      </xdr:nvGrpSpPr>
      <xdr:grpSpPr>
        <a:xfrm>
          <a:off x="160020" y="1203960"/>
          <a:ext cx="1938480" cy="2972760"/>
          <a:chOff x="160020" y="1104900"/>
          <a:chExt cx="1938480" cy="2972760"/>
        </a:xfrm>
      </xdr:grpSpPr>
      <xdr:sp macro="" textlink="">
        <xdr:nvSpPr>
          <xdr:cNvPr id="4" name="Rectangle: Rounded Corners 3">
            <a:extLst>
              <a:ext uri="{FF2B5EF4-FFF2-40B4-BE49-F238E27FC236}">
                <a16:creationId xmlns:a16="http://schemas.microsoft.com/office/drawing/2014/main" id="{DA039813-57B0-1E01-7113-215B5AC88C8E}"/>
              </a:ext>
            </a:extLst>
          </xdr:cNvPr>
          <xdr:cNvSpPr/>
        </xdr:nvSpPr>
        <xdr:spPr>
          <a:xfrm>
            <a:off x="190500" y="1104900"/>
            <a:ext cx="1908000" cy="2972760"/>
          </a:xfrm>
          <a:prstGeom prst="roundRect">
            <a:avLst>
              <a:gd name="adj" fmla="val 838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433DC16F-0A93-19F7-8515-93BE28A3CE4A}"/>
              </a:ext>
            </a:extLst>
          </xdr:cNvPr>
          <xdr:cNvSpPr txBox="1"/>
        </xdr:nvSpPr>
        <xdr:spPr>
          <a:xfrm>
            <a:off x="160020" y="2461260"/>
            <a:ext cx="1203960" cy="27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latin typeface="+mn-lt"/>
                <a:ea typeface="+mn-ea"/>
                <a:cs typeface="+mn-cs"/>
              </a:rPr>
              <a:t>Communication</a:t>
            </a:r>
            <a:r>
              <a:rPr lang="en-US" sz="1200" b="1">
                <a:solidFill>
                  <a:schemeClr val="bg1"/>
                </a:solidFill>
                <a:effectLst/>
              </a:rPr>
              <a:t> </a:t>
            </a:r>
            <a:endParaRPr lang="en-US" sz="1200" b="1">
              <a:ln>
                <a:solidFill>
                  <a:schemeClr val="bg1"/>
                </a:solidFill>
              </a:ln>
              <a:solidFill>
                <a:schemeClr val="bg1"/>
              </a:solidFill>
            </a:endParaRPr>
          </a:p>
        </xdr:txBody>
      </xdr:sp>
      <xdr:sp macro="" textlink="">
        <xdr:nvSpPr>
          <xdr:cNvPr id="54" name="TextBox 53">
            <a:extLst>
              <a:ext uri="{FF2B5EF4-FFF2-40B4-BE49-F238E27FC236}">
                <a16:creationId xmlns:a16="http://schemas.microsoft.com/office/drawing/2014/main" id="{0B2824DE-F618-8170-A760-E172A503C5AF}"/>
              </a:ext>
            </a:extLst>
          </xdr:cNvPr>
          <xdr:cNvSpPr txBox="1"/>
        </xdr:nvSpPr>
        <xdr:spPr>
          <a:xfrm>
            <a:off x="160020" y="2781681"/>
            <a:ext cx="10896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latin typeface="+mn-lt"/>
                <a:ea typeface="+mn-ea"/>
                <a:cs typeface="+mn-cs"/>
              </a:rPr>
              <a:t>Design</a:t>
            </a:r>
            <a:r>
              <a:rPr lang="en-US" sz="1200" b="1">
                <a:solidFill>
                  <a:schemeClr val="bg1"/>
                </a:solidFill>
                <a:effectLst/>
              </a:rPr>
              <a:t> </a:t>
            </a:r>
            <a:endParaRPr lang="en-US" sz="1200" b="1">
              <a:ln>
                <a:solidFill>
                  <a:schemeClr val="bg1"/>
                </a:solidFill>
              </a:ln>
              <a:solidFill>
                <a:schemeClr val="bg1"/>
              </a:solidFill>
            </a:endParaRPr>
          </a:p>
        </xdr:txBody>
      </xdr:sp>
      <xdr:sp macro="" textlink="">
        <xdr:nvSpPr>
          <xdr:cNvPr id="71" name="TextBox 70">
            <a:extLst>
              <a:ext uri="{FF2B5EF4-FFF2-40B4-BE49-F238E27FC236}">
                <a16:creationId xmlns:a16="http://schemas.microsoft.com/office/drawing/2014/main" id="{3D82700B-915E-CDEC-3C35-B1E305500960}"/>
              </a:ext>
            </a:extLst>
          </xdr:cNvPr>
          <xdr:cNvSpPr txBox="1"/>
        </xdr:nvSpPr>
        <xdr:spPr>
          <a:xfrm>
            <a:off x="160020" y="3068574"/>
            <a:ext cx="8534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latin typeface="+mn-lt"/>
                <a:ea typeface="+mn-ea"/>
                <a:cs typeface="+mn-cs"/>
              </a:rPr>
              <a:t>Excel</a:t>
            </a:r>
            <a:r>
              <a:rPr lang="en-US" sz="1200" b="1">
                <a:solidFill>
                  <a:schemeClr val="bg1"/>
                </a:solidFill>
                <a:effectLst/>
              </a:rPr>
              <a:t> </a:t>
            </a:r>
            <a:endParaRPr lang="en-US" sz="1200" b="1">
              <a:ln>
                <a:solidFill>
                  <a:schemeClr val="bg1"/>
                </a:solidFill>
              </a:ln>
              <a:solidFill>
                <a:schemeClr val="bg1"/>
              </a:solidFill>
            </a:endParaRPr>
          </a:p>
        </xdr:txBody>
      </xdr:sp>
      <xdr:sp macro="" textlink="">
        <xdr:nvSpPr>
          <xdr:cNvPr id="72" name="TextBox 71">
            <a:extLst>
              <a:ext uri="{FF2B5EF4-FFF2-40B4-BE49-F238E27FC236}">
                <a16:creationId xmlns:a16="http://schemas.microsoft.com/office/drawing/2014/main" id="{483D5AEE-06D9-CB52-C8C8-9FF0D364B5E2}"/>
              </a:ext>
            </a:extLst>
          </xdr:cNvPr>
          <xdr:cNvSpPr txBox="1"/>
        </xdr:nvSpPr>
        <xdr:spPr>
          <a:xfrm>
            <a:off x="160020" y="3355467"/>
            <a:ext cx="10134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latin typeface="+mn-lt"/>
                <a:ea typeface="+mn-ea"/>
                <a:cs typeface="+mn-cs"/>
              </a:rPr>
              <a:t>Management</a:t>
            </a:r>
            <a:r>
              <a:rPr lang="en-US" sz="1200" b="1">
                <a:solidFill>
                  <a:schemeClr val="bg1"/>
                </a:solidFill>
                <a:effectLst/>
              </a:rPr>
              <a:t> </a:t>
            </a:r>
            <a:endParaRPr lang="en-US" sz="1200" b="1">
              <a:ln>
                <a:solidFill>
                  <a:schemeClr val="bg1"/>
                </a:solidFill>
              </a:ln>
              <a:solidFill>
                <a:schemeClr val="bg1"/>
              </a:solidFill>
            </a:endParaRPr>
          </a:p>
        </xdr:txBody>
      </xdr:sp>
      <xdr:sp macro="" textlink="">
        <xdr:nvSpPr>
          <xdr:cNvPr id="73" name="TextBox 72">
            <a:extLst>
              <a:ext uri="{FF2B5EF4-FFF2-40B4-BE49-F238E27FC236}">
                <a16:creationId xmlns:a16="http://schemas.microsoft.com/office/drawing/2014/main" id="{93FA9B06-3C76-76B1-A73B-2445699A7460}"/>
              </a:ext>
            </a:extLst>
          </xdr:cNvPr>
          <xdr:cNvSpPr txBox="1"/>
        </xdr:nvSpPr>
        <xdr:spPr>
          <a:xfrm>
            <a:off x="160020" y="3665220"/>
            <a:ext cx="7010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bg1"/>
                </a:solidFill>
                <a:effectLst/>
                <a:latin typeface="+mn-lt"/>
                <a:ea typeface="+mn-ea"/>
                <a:cs typeface="+mn-cs"/>
              </a:rPr>
              <a:t>Python</a:t>
            </a:r>
            <a:r>
              <a:rPr lang="en-US" sz="1200" b="1">
                <a:solidFill>
                  <a:schemeClr val="bg1"/>
                </a:solidFill>
                <a:effectLst/>
              </a:rPr>
              <a:t> </a:t>
            </a:r>
            <a:endParaRPr lang="en-US" sz="1200" b="1">
              <a:ln>
                <a:solidFill>
                  <a:schemeClr val="bg1"/>
                </a:solidFill>
              </a:ln>
              <a:solidFill>
                <a:schemeClr val="bg1"/>
              </a:solidFill>
            </a:endParaRPr>
          </a:p>
        </xdr:txBody>
      </xdr:sp>
      <xdr:sp macro="" textlink="'Pivot Table '!T12">
        <xdr:nvSpPr>
          <xdr:cNvPr id="74" name="TextBox 73">
            <a:extLst>
              <a:ext uri="{FF2B5EF4-FFF2-40B4-BE49-F238E27FC236}">
                <a16:creationId xmlns:a16="http://schemas.microsoft.com/office/drawing/2014/main" id="{01B645F8-9B68-EF8A-3405-3FD320164A7B}"/>
              </a:ext>
            </a:extLst>
          </xdr:cNvPr>
          <xdr:cNvSpPr txBox="1"/>
        </xdr:nvSpPr>
        <xdr:spPr>
          <a:xfrm>
            <a:off x="1234440" y="2471928"/>
            <a:ext cx="8382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E0F8D6-F29C-497F-829A-A3101120C909}" type="TxLink">
              <a:rPr lang="en-US" sz="1200" b="0" i="0" u="none" strike="noStrike">
                <a:ln>
                  <a:solidFill>
                    <a:srgbClr val="E5B244"/>
                  </a:solidFill>
                </a:ln>
                <a:solidFill>
                  <a:srgbClr val="FFCC00"/>
                </a:solidFill>
                <a:latin typeface="Aptos Narrow"/>
              </a:rPr>
              <a:pPr algn="ctr"/>
              <a:t>5</a:t>
            </a:fld>
            <a:endParaRPr lang="en-US" sz="1200" b="0">
              <a:ln>
                <a:solidFill>
                  <a:srgbClr val="E5B244"/>
                </a:solidFill>
              </a:ln>
              <a:solidFill>
                <a:srgbClr val="FFCC00"/>
              </a:solidFill>
            </a:endParaRPr>
          </a:p>
        </xdr:txBody>
      </xdr:sp>
      <xdr:sp macro="" textlink="'Pivot Table '!T13">
        <xdr:nvSpPr>
          <xdr:cNvPr id="75" name="TextBox 74">
            <a:extLst>
              <a:ext uri="{FF2B5EF4-FFF2-40B4-BE49-F238E27FC236}">
                <a16:creationId xmlns:a16="http://schemas.microsoft.com/office/drawing/2014/main" id="{01938ABD-FE63-FB1E-EA90-89DFD5CCD624}"/>
              </a:ext>
            </a:extLst>
          </xdr:cNvPr>
          <xdr:cNvSpPr txBox="1"/>
        </xdr:nvSpPr>
        <xdr:spPr>
          <a:xfrm>
            <a:off x="1234440" y="2782443"/>
            <a:ext cx="838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A19747-E79A-446A-9334-1D84BBF2AF6E}" type="TxLink">
              <a:rPr lang="en-US" sz="1200" b="0" i="0" u="none" strike="noStrike">
                <a:ln>
                  <a:solidFill>
                    <a:srgbClr val="E5B244"/>
                  </a:solidFill>
                </a:ln>
                <a:solidFill>
                  <a:srgbClr val="FFCC00"/>
                </a:solidFill>
                <a:latin typeface="Aptos Narrow"/>
              </a:rPr>
              <a:pPr algn="ctr"/>
              <a:t>4</a:t>
            </a:fld>
            <a:endParaRPr lang="en-US" sz="1200" b="0">
              <a:ln>
                <a:solidFill>
                  <a:srgbClr val="E5B244"/>
                </a:solidFill>
              </a:ln>
              <a:solidFill>
                <a:srgbClr val="FFCC00"/>
              </a:solidFill>
            </a:endParaRPr>
          </a:p>
        </xdr:txBody>
      </xdr:sp>
      <xdr:sp macro="" textlink="'Pivot Table '!T14">
        <xdr:nvSpPr>
          <xdr:cNvPr id="76" name="TextBox 75">
            <a:extLst>
              <a:ext uri="{FF2B5EF4-FFF2-40B4-BE49-F238E27FC236}">
                <a16:creationId xmlns:a16="http://schemas.microsoft.com/office/drawing/2014/main" id="{514869AE-58C9-B4AD-8C86-BCB6C1E4563A}"/>
              </a:ext>
            </a:extLst>
          </xdr:cNvPr>
          <xdr:cNvSpPr txBox="1"/>
        </xdr:nvSpPr>
        <xdr:spPr>
          <a:xfrm>
            <a:off x="1234440" y="3070098"/>
            <a:ext cx="838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C70256-CCCB-4DCC-AEB2-1ED323D62B9A}" type="TxLink">
              <a:rPr lang="en-US" sz="1200" b="0" i="0" u="none" strike="noStrike">
                <a:ln>
                  <a:solidFill>
                    <a:srgbClr val="E5B244"/>
                  </a:solidFill>
                </a:ln>
                <a:solidFill>
                  <a:srgbClr val="FFCC00"/>
                </a:solidFill>
                <a:latin typeface="Aptos Narrow"/>
              </a:rPr>
              <a:pPr algn="ctr"/>
              <a:t>5</a:t>
            </a:fld>
            <a:endParaRPr lang="en-US" sz="1200" b="0">
              <a:ln>
                <a:solidFill>
                  <a:srgbClr val="E5B244"/>
                </a:solidFill>
              </a:ln>
              <a:solidFill>
                <a:srgbClr val="FFCC00"/>
              </a:solidFill>
            </a:endParaRPr>
          </a:p>
        </xdr:txBody>
      </xdr:sp>
      <xdr:sp macro="" textlink="'Pivot Table '!T15">
        <xdr:nvSpPr>
          <xdr:cNvPr id="77" name="TextBox 76">
            <a:extLst>
              <a:ext uri="{FF2B5EF4-FFF2-40B4-BE49-F238E27FC236}">
                <a16:creationId xmlns:a16="http://schemas.microsoft.com/office/drawing/2014/main" id="{2A3B6AEB-C7CC-3E36-2A58-AC12EE2737CC}"/>
              </a:ext>
            </a:extLst>
          </xdr:cNvPr>
          <xdr:cNvSpPr txBox="1"/>
        </xdr:nvSpPr>
        <xdr:spPr>
          <a:xfrm>
            <a:off x="1234440" y="3365373"/>
            <a:ext cx="8382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E669CF-E0D4-497D-B939-B0400F7D8832}" type="TxLink">
              <a:rPr lang="en-US" sz="1200" b="0" i="0" u="none" strike="noStrike">
                <a:ln>
                  <a:solidFill>
                    <a:srgbClr val="E5B244"/>
                  </a:solidFill>
                </a:ln>
                <a:solidFill>
                  <a:srgbClr val="FFCC00"/>
                </a:solidFill>
                <a:latin typeface="Aptos Narrow"/>
              </a:rPr>
              <a:pPr algn="ctr"/>
              <a:t>4</a:t>
            </a:fld>
            <a:endParaRPr lang="en-US" sz="1200" b="0">
              <a:ln>
                <a:solidFill>
                  <a:srgbClr val="E5B244"/>
                </a:solidFill>
              </a:ln>
              <a:solidFill>
                <a:srgbClr val="FFCC00"/>
              </a:solidFill>
            </a:endParaRPr>
          </a:p>
        </xdr:txBody>
      </xdr:sp>
      <xdr:sp macro="" textlink="'Pivot Table '!T16">
        <xdr:nvSpPr>
          <xdr:cNvPr id="78" name="TextBox 77">
            <a:extLst>
              <a:ext uri="{FF2B5EF4-FFF2-40B4-BE49-F238E27FC236}">
                <a16:creationId xmlns:a16="http://schemas.microsoft.com/office/drawing/2014/main" id="{D968782F-FED5-53C9-0741-D5EBB64076F5}"/>
              </a:ext>
            </a:extLst>
          </xdr:cNvPr>
          <xdr:cNvSpPr txBox="1"/>
        </xdr:nvSpPr>
        <xdr:spPr>
          <a:xfrm>
            <a:off x="1226820" y="3668268"/>
            <a:ext cx="8382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713416-C900-4D1D-9BE3-8AB5081E2F23}" type="TxLink">
              <a:rPr lang="en-US" sz="1200" b="0" i="0" u="none" strike="noStrike">
                <a:ln>
                  <a:solidFill>
                    <a:srgbClr val="E5B244"/>
                  </a:solidFill>
                </a:ln>
                <a:solidFill>
                  <a:srgbClr val="FFCC00"/>
                </a:solidFill>
                <a:latin typeface="Aptos Narrow"/>
              </a:rPr>
              <a:pPr algn="ctr"/>
              <a:t>6</a:t>
            </a:fld>
            <a:endParaRPr lang="en-US" sz="1200" b="0">
              <a:ln>
                <a:solidFill>
                  <a:srgbClr val="E5B244"/>
                </a:solidFill>
              </a:ln>
              <a:solidFill>
                <a:srgbClr val="FFCC00"/>
              </a:solidFill>
            </a:endParaRPr>
          </a:p>
        </xdr:txBody>
      </xdr:sp>
      <xdr:pic>
        <xdr:nvPicPr>
          <xdr:cNvPr id="80" name="Graphic 79" descr="Group brainstorm">
            <a:extLst>
              <a:ext uri="{FF2B5EF4-FFF2-40B4-BE49-F238E27FC236}">
                <a16:creationId xmlns:a16="http://schemas.microsoft.com/office/drawing/2014/main" id="{3FB97470-20C0-ABBE-D9F2-32A74B9458F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7700" y="1120140"/>
            <a:ext cx="876300" cy="701040"/>
          </a:xfrm>
          <a:prstGeom prst="rect">
            <a:avLst/>
          </a:prstGeom>
        </xdr:spPr>
      </xdr:pic>
      <xdr:sp macro="" textlink="">
        <xdr:nvSpPr>
          <xdr:cNvPr id="81" name="TextBox 80">
            <a:extLst>
              <a:ext uri="{FF2B5EF4-FFF2-40B4-BE49-F238E27FC236}">
                <a16:creationId xmlns:a16="http://schemas.microsoft.com/office/drawing/2014/main" id="{6255393B-805C-37EF-58AA-90F04DB1B75A}"/>
              </a:ext>
            </a:extLst>
          </xdr:cNvPr>
          <xdr:cNvSpPr txBox="1"/>
        </xdr:nvSpPr>
        <xdr:spPr>
          <a:xfrm>
            <a:off x="220980" y="1748028"/>
            <a:ext cx="1775460" cy="743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ln>
                  <a:solidFill>
                    <a:srgbClr val="E5B244"/>
                  </a:solidFill>
                </a:ln>
                <a:solidFill>
                  <a:srgbClr val="E5B244"/>
                </a:solidFill>
              </a:rPr>
              <a:t>Skills</a:t>
            </a:r>
          </a:p>
          <a:p>
            <a:pPr algn="ctr"/>
            <a:r>
              <a:rPr lang="en-US" sz="1800" b="0">
                <a:ln>
                  <a:solidFill>
                    <a:srgbClr val="E5B244"/>
                  </a:solidFill>
                </a:ln>
                <a:solidFill>
                  <a:srgbClr val="E5B244"/>
                </a:solidFill>
              </a:rPr>
              <a:t>BreakDown</a:t>
            </a:r>
          </a:p>
        </xdr:txBody>
      </xdr:sp>
    </xdr:grpSp>
    <xdr:clientData/>
  </xdr:twoCellAnchor>
  <xdr:twoCellAnchor>
    <xdr:from>
      <xdr:col>3</xdr:col>
      <xdr:colOff>129540</xdr:colOff>
      <xdr:row>6</xdr:row>
      <xdr:rowOff>33528</xdr:rowOff>
    </xdr:from>
    <xdr:to>
      <xdr:col>6</xdr:col>
      <xdr:colOff>579120</xdr:colOff>
      <xdr:row>8</xdr:row>
      <xdr:rowOff>38100</xdr:rowOff>
    </xdr:to>
    <xdr:sp macro="" textlink="">
      <xdr:nvSpPr>
        <xdr:cNvPr id="82" name="TextBox 81">
          <a:extLst>
            <a:ext uri="{FF2B5EF4-FFF2-40B4-BE49-F238E27FC236}">
              <a16:creationId xmlns:a16="http://schemas.microsoft.com/office/drawing/2014/main" id="{EEF280F7-84A3-FE37-EBA9-1DC3F09C8B04}"/>
            </a:ext>
          </a:extLst>
        </xdr:cNvPr>
        <xdr:cNvSpPr txBox="1"/>
      </xdr:nvSpPr>
      <xdr:spPr>
        <a:xfrm>
          <a:off x="1958340" y="1130808"/>
          <a:ext cx="2278380" cy="370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ln>
                <a:solidFill>
                  <a:schemeClr val="bg1"/>
                </a:solidFill>
              </a:ln>
              <a:solidFill>
                <a:srgbClr val="E5B244"/>
              </a:solidFill>
            </a:rPr>
            <a:t>Employees</a:t>
          </a:r>
          <a:r>
            <a:rPr lang="en-US" sz="1800" b="0" baseline="0">
              <a:ln>
                <a:solidFill>
                  <a:schemeClr val="bg1"/>
                </a:solidFill>
              </a:ln>
              <a:solidFill>
                <a:srgbClr val="E5B244"/>
              </a:solidFill>
            </a:rPr>
            <a:t> number </a:t>
          </a:r>
          <a:endParaRPr lang="en-US" sz="1800" b="0">
            <a:ln>
              <a:solidFill>
                <a:srgbClr val="E5B244"/>
              </a:solidFill>
            </a:ln>
            <a:solidFill>
              <a:srgbClr val="E5B244"/>
            </a:solidFill>
          </a:endParaRPr>
        </a:p>
      </xdr:txBody>
    </xdr:sp>
    <xdr:clientData/>
  </xdr:twoCellAnchor>
  <xdr:twoCellAnchor>
    <xdr:from>
      <xdr:col>4</xdr:col>
      <xdr:colOff>83820</xdr:colOff>
      <xdr:row>7</xdr:row>
      <xdr:rowOff>45720</xdr:rowOff>
    </xdr:from>
    <xdr:to>
      <xdr:col>5</xdr:col>
      <xdr:colOff>510540</xdr:colOff>
      <xdr:row>11</xdr:row>
      <xdr:rowOff>38099</xdr:rowOff>
    </xdr:to>
    <xdr:sp macro="" textlink="'Pivot Table '!J18">
      <xdr:nvSpPr>
        <xdr:cNvPr id="83" name="TextBox 82">
          <a:extLst>
            <a:ext uri="{FF2B5EF4-FFF2-40B4-BE49-F238E27FC236}">
              <a16:creationId xmlns:a16="http://schemas.microsoft.com/office/drawing/2014/main" id="{35FAB6CE-909B-F4ED-D759-24B1B8E2D708}"/>
            </a:ext>
          </a:extLst>
        </xdr:cNvPr>
        <xdr:cNvSpPr txBox="1"/>
      </xdr:nvSpPr>
      <xdr:spPr>
        <a:xfrm>
          <a:off x="2522220" y="1325880"/>
          <a:ext cx="1036320" cy="72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D2791F-5A55-4C6B-AB3D-A9449D39AD4F}" type="TxLink">
            <a:rPr lang="en-US" sz="4400" b="1" i="0" u="none" strike="noStrike">
              <a:ln>
                <a:solidFill>
                  <a:srgbClr val="E5B244"/>
                </a:solidFill>
              </a:ln>
              <a:solidFill>
                <a:srgbClr val="E5B244"/>
              </a:solidFill>
              <a:latin typeface="Aptos Narrow"/>
            </a:rPr>
            <a:pPr algn="ctr"/>
            <a:t>50</a:t>
          </a:fld>
          <a:endParaRPr lang="en-US" sz="5400" b="1">
            <a:ln>
              <a:solidFill>
                <a:srgbClr val="E5B244"/>
              </a:solidFill>
            </a:ln>
            <a:solidFill>
              <a:srgbClr val="E5B244"/>
            </a:solidFill>
          </a:endParaRPr>
        </a:p>
      </xdr:txBody>
    </xdr:sp>
    <xdr:clientData/>
  </xdr:twoCellAnchor>
  <xdr:twoCellAnchor editAs="oneCell">
    <xdr:from>
      <xdr:col>6</xdr:col>
      <xdr:colOff>53340</xdr:colOff>
      <xdr:row>6</xdr:row>
      <xdr:rowOff>137160</xdr:rowOff>
    </xdr:from>
    <xdr:to>
      <xdr:col>7</xdr:col>
      <xdr:colOff>358140</xdr:colOff>
      <xdr:row>11</xdr:row>
      <xdr:rowOff>137160</xdr:rowOff>
    </xdr:to>
    <xdr:pic>
      <xdr:nvPicPr>
        <xdr:cNvPr id="85" name="Graphic 84" descr="Office worker">
          <a:extLst>
            <a:ext uri="{FF2B5EF4-FFF2-40B4-BE49-F238E27FC236}">
              <a16:creationId xmlns:a16="http://schemas.microsoft.com/office/drawing/2014/main" id="{B0EB6AB3-ABED-B103-AC07-BD4F39C8969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710940" y="1234440"/>
          <a:ext cx="914400" cy="914400"/>
        </a:xfrm>
        <a:prstGeom prst="rect">
          <a:avLst/>
        </a:prstGeom>
      </xdr:spPr>
    </xdr:pic>
    <xdr:clientData/>
  </xdr:twoCellAnchor>
  <xdr:twoCellAnchor>
    <xdr:from>
      <xdr:col>3</xdr:col>
      <xdr:colOff>152400</xdr:colOff>
      <xdr:row>12</xdr:row>
      <xdr:rowOff>33528</xdr:rowOff>
    </xdr:from>
    <xdr:to>
      <xdr:col>5</xdr:col>
      <xdr:colOff>403860</xdr:colOff>
      <xdr:row>13</xdr:row>
      <xdr:rowOff>114300</xdr:rowOff>
    </xdr:to>
    <xdr:sp macro="" textlink="">
      <xdr:nvSpPr>
        <xdr:cNvPr id="86" name="TextBox 85">
          <a:extLst>
            <a:ext uri="{FF2B5EF4-FFF2-40B4-BE49-F238E27FC236}">
              <a16:creationId xmlns:a16="http://schemas.microsoft.com/office/drawing/2014/main" id="{F88F13BF-6208-F808-D9C4-547DC3A0912C}"/>
            </a:ext>
          </a:extLst>
        </xdr:cNvPr>
        <xdr:cNvSpPr txBox="1"/>
      </xdr:nvSpPr>
      <xdr:spPr>
        <a:xfrm>
          <a:off x="1981200" y="2136648"/>
          <a:ext cx="1470660" cy="25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ln>
                <a:solidFill>
                  <a:schemeClr val="bg1"/>
                </a:solidFill>
              </a:ln>
              <a:solidFill>
                <a:srgbClr val="E5B244"/>
              </a:solidFill>
            </a:rPr>
            <a:t>Males</a:t>
          </a:r>
          <a:endParaRPr lang="en-US" sz="1800" b="0">
            <a:ln>
              <a:solidFill>
                <a:srgbClr val="E5B244"/>
              </a:solidFill>
            </a:ln>
            <a:solidFill>
              <a:srgbClr val="E5B244"/>
            </a:solidFill>
          </a:endParaRPr>
        </a:p>
      </xdr:txBody>
    </xdr:sp>
    <xdr:clientData/>
  </xdr:twoCellAnchor>
  <xdr:twoCellAnchor>
    <xdr:from>
      <xdr:col>5</xdr:col>
      <xdr:colOff>426720</xdr:colOff>
      <xdr:row>12</xdr:row>
      <xdr:rowOff>33528</xdr:rowOff>
    </xdr:from>
    <xdr:to>
      <xdr:col>7</xdr:col>
      <xdr:colOff>327660</xdr:colOff>
      <xdr:row>13</xdr:row>
      <xdr:rowOff>114300</xdr:rowOff>
    </xdr:to>
    <xdr:sp macro="" textlink="">
      <xdr:nvSpPr>
        <xdr:cNvPr id="87" name="TextBox 86">
          <a:extLst>
            <a:ext uri="{FF2B5EF4-FFF2-40B4-BE49-F238E27FC236}">
              <a16:creationId xmlns:a16="http://schemas.microsoft.com/office/drawing/2014/main" id="{30EEA61E-CB50-D783-EB74-A8B8F4AD4805}"/>
            </a:ext>
          </a:extLst>
        </xdr:cNvPr>
        <xdr:cNvSpPr txBox="1"/>
      </xdr:nvSpPr>
      <xdr:spPr>
        <a:xfrm>
          <a:off x="3474720" y="2136648"/>
          <a:ext cx="1120140" cy="25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ln>
                <a:solidFill>
                  <a:schemeClr val="bg1"/>
                </a:solidFill>
              </a:ln>
              <a:solidFill>
                <a:srgbClr val="E5B244"/>
              </a:solidFill>
            </a:rPr>
            <a:t>Females</a:t>
          </a:r>
          <a:endParaRPr lang="en-US" sz="1800" b="0">
            <a:ln>
              <a:solidFill>
                <a:srgbClr val="E5B244"/>
              </a:solidFill>
            </a:ln>
            <a:solidFill>
              <a:srgbClr val="E5B244"/>
            </a:solidFill>
          </a:endParaRPr>
        </a:p>
      </xdr:txBody>
    </xdr:sp>
    <xdr:clientData/>
  </xdr:twoCellAnchor>
  <xdr:twoCellAnchor>
    <xdr:from>
      <xdr:col>3</xdr:col>
      <xdr:colOff>182880</xdr:colOff>
      <xdr:row>12</xdr:row>
      <xdr:rowOff>167640</xdr:rowOff>
    </xdr:from>
    <xdr:to>
      <xdr:col>5</xdr:col>
      <xdr:colOff>365760</xdr:colOff>
      <xdr:row>19</xdr:row>
      <xdr:rowOff>144780</xdr:rowOff>
    </xdr:to>
    <xdr:graphicFrame macro="">
      <xdr:nvGraphicFramePr>
        <xdr:cNvPr id="88" name="Chart 87">
          <a:extLst>
            <a:ext uri="{FF2B5EF4-FFF2-40B4-BE49-F238E27FC236}">
              <a16:creationId xmlns:a16="http://schemas.microsoft.com/office/drawing/2014/main" id="{23A5CD7F-8E96-491A-A1ED-9F3D40B26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414477</xdr:colOff>
      <xdr:row>12</xdr:row>
      <xdr:rowOff>121920</xdr:rowOff>
    </xdr:from>
    <xdr:to>
      <xdr:col>7</xdr:col>
      <xdr:colOff>378003</xdr:colOff>
      <xdr:row>19</xdr:row>
      <xdr:rowOff>152400</xdr:rowOff>
    </xdr:to>
    <xdr:graphicFrame macro="">
      <xdr:nvGraphicFramePr>
        <xdr:cNvPr id="89" name="Chart 88">
          <a:extLst>
            <a:ext uri="{FF2B5EF4-FFF2-40B4-BE49-F238E27FC236}">
              <a16:creationId xmlns:a16="http://schemas.microsoft.com/office/drawing/2014/main" id="{D6661879-4D16-4741-B168-7460DC2BB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457200</xdr:colOff>
      <xdr:row>15</xdr:row>
      <xdr:rowOff>109728</xdr:rowOff>
    </xdr:from>
    <xdr:to>
      <xdr:col>5</xdr:col>
      <xdr:colOff>76200</xdr:colOff>
      <xdr:row>16</xdr:row>
      <xdr:rowOff>170688</xdr:rowOff>
    </xdr:to>
    <xdr:sp macro="" textlink="'Pivot Table '!K20">
      <xdr:nvSpPr>
        <xdr:cNvPr id="90" name="TextBox 89">
          <a:extLst>
            <a:ext uri="{FF2B5EF4-FFF2-40B4-BE49-F238E27FC236}">
              <a16:creationId xmlns:a16="http://schemas.microsoft.com/office/drawing/2014/main" id="{7818575C-CD69-F814-EFE3-F8BBB16ED886}"/>
            </a:ext>
          </a:extLst>
        </xdr:cNvPr>
        <xdr:cNvSpPr txBox="1"/>
      </xdr:nvSpPr>
      <xdr:spPr>
        <a:xfrm>
          <a:off x="2286000" y="2738628"/>
          <a:ext cx="8382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71533C-5C41-4080-BEB0-36BAF83FE053}" type="TxLink">
            <a:rPr lang="en-US" sz="1800" b="1" i="0" u="none" strike="noStrike">
              <a:ln>
                <a:solidFill>
                  <a:srgbClr val="E5B244"/>
                </a:solidFill>
              </a:ln>
              <a:solidFill>
                <a:srgbClr val="E5B244"/>
              </a:solidFill>
              <a:latin typeface="Aptos Narrow"/>
            </a:rPr>
            <a:pPr algn="ctr"/>
            <a:t>48%</a:t>
          </a:fld>
          <a:endParaRPr lang="en-US" sz="2000" b="1">
            <a:ln>
              <a:solidFill>
                <a:srgbClr val="E5B244"/>
              </a:solidFill>
            </a:ln>
            <a:solidFill>
              <a:srgbClr val="E5B244"/>
            </a:solidFill>
          </a:endParaRPr>
        </a:p>
      </xdr:txBody>
    </xdr:sp>
    <xdr:clientData/>
  </xdr:twoCellAnchor>
  <xdr:twoCellAnchor>
    <xdr:from>
      <xdr:col>5</xdr:col>
      <xdr:colOff>586740</xdr:colOff>
      <xdr:row>15</xdr:row>
      <xdr:rowOff>94488</xdr:rowOff>
    </xdr:from>
    <xdr:to>
      <xdr:col>7</xdr:col>
      <xdr:colOff>205740</xdr:colOff>
      <xdr:row>16</xdr:row>
      <xdr:rowOff>155448</xdr:rowOff>
    </xdr:to>
    <xdr:sp macro="" textlink="'Pivot Table '!K21">
      <xdr:nvSpPr>
        <xdr:cNvPr id="91" name="TextBox 90">
          <a:extLst>
            <a:ext uri="{FF2B5EF4-FFF2-40B4-BE49-F238E27FC236}">
              <a16:creationId xmlns:a16="http://schemas.microsoft.com/office/drawing/2014/main" id="{66E6FC56-2E16-2D3B-721A-037175E8CA64}"/>
            </a:ext>
          </a:extLst>
        </xdr:cNvPr>
        <xdr:cNvSpPr txBox="1"/>
      </xdr:nvSpPr>
      <xdr:spPr>
        <a:xfrm>
          <a:off x="3634740" y="2723388"/>
          <a:ext cx="8382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F6A7A2-F50C-44A1-9A47-F117CD951236}" type="TxLink">
            <a:rPr lang="en-US" sz="1800" b="1" i="0" u="none" strike="noStrike">
              <a:ln>
                <a:solidFill>
                  <a:srgbClr val="E5B244"/>
                </a:solidFill>
              </a:ln>
              <a:solidFill>
                <a:srgbClr val="E5B244"/>
              </a:solidFill>
              <a:latin typeface="Aptos Narrow"/>
            </a:rPr>
            <a:pPr algn="ctr"/>
            <a:t>52%</a:t>
          </a:fld>
          <a:endParaRPr lang="en-US" sz="2000" b="1">
            <a:ln>
              <a:solidFill>
                <a:srgbClr val="E5B244"/>
              </a:solidFill>
            </a:ln>
            <a:solidFill>
              <a:srgbClr val="E5B244"/>
            </a:solidFill>
          </a:endParaRPr>
        </a:p>
      </xdr:txBody>
    </xdr:sp>
    <xdr:clientData/>
  </xdr:twoCellAnchor>
  <xdr:twoCellAnchor>
    <xdr:from>
      <xdr:col>7</xdr:col>
      <xdr:colOff>487680</xdr:colOff>
      <xdr:row>5</xdr:row>
      <xdr:rowOff>83820</xdr:rowOff>
    </xdr:from>
    <xdr:to>
      <xdr:col>11</xdr:col>
      <xdr:colOff>464820</xdr:colOff>
      <xdr:row>14</xdr:row>
      <xdr:rowOff>0</xdr:rowOff>
    </xdr:to>
    <xdr:graphicFrame macro="">
      <xdr:nvGraphicFramePr>
        <xdr:cNvPr id="92" name="Chart 91">
          <a:extLst>
            <a:ext uri="{FF2B5EF4-FFF2-40B4-BE49-F238E27FC236}">
              <a16:creationId xmlns:a16="http://schemas.microsoft.com/office/drawing/2014/main" id="{B9035EAE-8327-49A5-B340-287BA3483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495300</xdr:colOff>
      <xdr:row>13</xdr:row>
      <xdr:rowOff>140208</xdr:rowOff>
    </xdr:from>
    <xdr:to>
      <xdr:col>9</xdr:col>
      <xdr:colOff>297180</xdr:colOff>
      <xdr:row>15</xdr:row>
      <xdr:rowOff>15240</xdr:rowOff>
    </xdr:to>
    <xdr:grpSp>
      <xdr:nvGrpSpPr>
        <xdr:cNvPr id="105" name="Group 104">
          <a:extLst>
            <a:ext uri="{FF2B5EF4-FFF2-40B4-BE49-F238E27FC236}">
              <a16:creationId xmlns:a16="http://schemas.microsoft.com/office/drawing/2014/main" id="{19904DE8-CD5A-EBFC-EA7B-235BB3EE5980}"/>
            </a:ext>
          </a:extLst>
        </xdr:cNvPr>
        <xdr:cNvGrpSpPr/>
      </xdr:nvGrpSpPr>
      <xdr:grpSpPr>
        <a:xfrm>
          <a:off x="4762500" y="2517648"/>
          <a:ext cx="1021080" cy="240792"/>
          <a:chOff x="7482840" y="1626108"/>
          <a:chExt cx="1021080" cy="225552"/>
        </a:xfrm>
      </xdr:grpSpPr>
      <xdr:sp macro="" textlink="">
        <xdr:nvSpPr>
          <xdr:cNvPr id="95" name="TextBox 94">
            <a:extLst>
              <a:ext uri="{FF2B5EF4-FFF2-40B4-BE49-F238E27FC236}">
                <a16:creationId xmlns:a16="http://schemas.microsoft.com/office/drawing/2014/main" id="{B452FE56-15D1-FC9B-FBF4-A5901AB5DF45}"/>
              </a:ext>
            </a:extLst>
          </xdr:cNvPr>
          <xdr:cNvSpPr txBox="1"/>
        </xdr:nvSpPr>
        <xdr:spPr>
          <a:xfrm>
            <a:off x="7482840" y="1626108"/>
            <a:ext cx="1021080" cy="225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2">
                    <a:lumMod val="90000"/>
                  </a:schemeClr>
                </a:solidFill>
              </a:rPr>
              <a:t>Analyst</a:t>
            </a:r>
            <a:endParaRPr lang="en-US" sz="1400" b="0">
              <a:ln>
                <a:solidFill>
                  <a:schemeClr val="bg1"/>
                </a:solidFill>
              </a:ln>
              <a:solidFill>
                <a:schemeClr val="bg2">
                  <a:lumMod val="90000"/>
                </a:schemeClr>
              </a:solidFill>
            </a:endParaRPr>
          </a:p>
        </xdr:txBody>
      </xdr:sp>
      <xdr:sp macro="" textlink="">
        <xdr:nvSpPr>
          <xdr:cNvPr id="96" name="Oval 95">
            <a:extLst>
              <a:ext uri="{FF2B5EF4-FFF2-40B4-BE49-F238E27FC236}">
                <a16:creationId xmlns:a16="http://schemas.microsoft.com/office/drawing/2014/main" id="{E56EEBB8-6F37-3473-213E-51DADDF56754}"/>
              </a:ext>
            </a:extLst>
          </xdr:cNvPr>
          <xdr:cNvSpPr/>
        </xdr:nvSpPr>
        <xdr:spPr>
          <a:xfrm flipH="1">
            <a:off x="7620000" y="1691640"/>
            <a:ext cx="73152" cy="73152"/>
          </a:xfrm>
          <a:prstGeom prst="ellipse">
            <a:avLst/>
          </a:prstGeom>
          <a:solidFill>
            <a:srgbClr val="779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60960</xdr:colOff>
      <xdr:row>13</xdr:row>
      <xdr:rowOff>140208</xdr:rowOff>
    </xdr:from>
    <xdr:to>
      <xdr:col>10</xdr:col>
      <xdr:colOff>472440</xdr:colOff>
      <xdr:row>15</xdr:row>
      <xdr:rowOff>15240</xdr:rowOff>
    </xdr:to>
    <xdr:grpSp>
      <xdr:nvGrpSpPr>
        <xdr:cNvPr id="106" name="Group 105">
          <a:extLst>
            <a:ext uri="{FF2B5EF4-FFF2-40B4-BE49-F238E27FC236}">
              <a16:creationId xmlns:a16="http://schemas.microsoft.com/office/drawing/2014/main" id="{00835B46-45CE-B11D-7017-26BA0A2957A2}"/>
            </a:ext>
          </a:extLst>
        </xdr:cNvPr>
        <xdr:cNvGrpSpPr/>
      </xdr:nvGrpSpPr>
      <xdr:grpSpPr>
        <a:xfrm>
          <a:off x="5547360" y="2517648"/>
          <a:ext cx="1021080" cy="240792"/>
          <a:chOff x="7467600" y="1854708"/>
          <a:chExt cx="1021080" cy="225552"/>
        </a:xfrm>
      </xdr:grpSpPr>
      <xdr:sp macro="" textlink="">
        <xdr:nvSpPr>
          <xdr:cNvPr id="97" name="TextBox 96">
            <a:extLst>
              <a:ext uri="{FF2B5EF4-FFF2-40B4-BE49-F238E27FC236}">
                <a16:creationId xmlns:a16="http://schemas.microsoft.com/office/drawing/2014/main" id="{6FF0EE24-FAB0-CC9C-76BE-167E6F5AECFA}"/>
              </a:ext>
            </a:extLst>
          </xdr:cNvPr>
          <xdr:cNvSpPr txBox="1"/>
        </xdr:nvSpPr>
        <xdr:spPr>
          <a:xfrm>
            <a:off x="7467600" y="1854708"/>
            <a:ext cx="1021080" cy="225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2">
                    <a:lumMod val="90000"/>
                  </a:schemeClr>
                </a:solidFill>
              </a:rPr>
              <a:t>Designer</a:t>
            </a:r>
            <a:endParaRPr lang="en-US" sz="1400" b="0">
              <a:ln>
                <a:solidFill>
                  <a:schemeClr val="bg1"/>
                </a:solidFill>
              </a:ln>
              <a:solidFill>
                <a:schemeClr val="bg2">
                  <a:lumMod val="90000"/>
                </a:schemeClr>
              </a:solidFill>
            </a:endParaRPr>
          </a:p>
        </xdr:txBody>
      </xdr:sp>
      <xdr:sp macro="" textlink="">
        <xdr:nvSpPr>
          <xdr:cNvPr id="98" name="Oval 97">
            <a:extLst>
              <a:ext uri="{FF2B5EF4-FFF2-40B4-BE49-F238E27FC236}">
                <a16:creationId xmlns:a16="http://schemas.microsoft.com/office/drawing/2014/main" id="{87695D5E-BFA7-DCC1-1CB1-A96D49622904}"/>
              </a:ext>
            </a:extLst>
          </xdr:cNvPr>
          <xdr:cNvSpPr/>
        </xdr:nvSpPr>
        <xdr:spPr>
          <a:xfrm flipH="1">
            <a:off x="7581900" y="1912620"/>
            <a:ext cx="73152" cy="73152"/>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541020</xdr:colOff>
      <xdr:row>15</xdr:row>
      <xdr:rowOff>33528</xdr:rowOff>
    </xdr:from>
    <xdr:to>
      <xdr:col>9</xdr:col>
      <xdr:colOff>342900</xdr:colOff>
      <xdr:row>16</xdr:row>
      <xdr:rowOff>83820</xdr:rowOff>
    </xdr:to>
    <xdr:grpSp>
      <xdr:nvGrpSpPr>
        <xdr:cNvPr id="107" name="Group 106">
          <a:extLst>
            <a:ext uri="{FF2B5EF4-FFF2-40B4-BE49-F238E27FC236}">
              <a16:creationId xmlns:a16="http://schemas.microsoft.com/office/drawing/2014/main" id="{1FF9F2CB-F65E-E393-B327-10373931C7D4}"/>
            </a:ext>
          </a:extLst>
        </xdr:cNvPr>
        <xdr:cNvGrpSpPr/>
      </xdr:nvGrpSpPr>
      <xdr:grpSpPr>
        <a:xfrm>
          <a:off x="4808220" y="2776728"/>
          <a:ext cx="1021080" cy="233172"/>
          <a:chOff x="7482840" y="2083308"/>
          <a:chExt cx="1021080" cy="225552"/>
        </a:xfrm>
      </xdr:grpSpPr>
      <xdr:sp macro="" textlink="">
        <xdr:nvSpPr>
          <xdr:cNvPr id="99" name="TextBox 98">
            <a:extLst>
              <a:ext uri="{FF2B5EF4-FFF2-40B4-BE49-F238E27FC236}">
                <a16:creationId xmlns:a16="http://schemas.microsoft.com/office/drawing/2014/main" id="{A1415AEF-C23F-E85D-A339-4E5111A1FF48}"/>
              </a:ext>
            </a:extLst>
          </xdr:cNvPr>
          <xdr:cNvSpPr txBox="1"/>
        </xdr:nvSpPr>
        <xdr:spPr>
          <a:xfrm>
            <a:off x="7482840" y="2083308"/>
            <a:ext cx="1021080" cy="225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2">
                    <a:lumMod val="90000"/>
                  </a:schemeClr>
                </a:solidFill>
              </a:rPr>
              <a:t>Developer</a:t>
            </a:r>
            <a:endParaRPr lang="en-US" sz="1400" b="0">
              <a:ln>
                <a:solidFill>
                  <a:schemeClr val="bg1"/>
                </a:solidFill>
              </a:ln>
              <a:solidFill>
                <a:schemeClr val="bg2">
                  <a:lumMod val="90000"/>
                </a:schemeClr>
              </a:solidFill>
            </a:endParaRPr>
          </a:p>
        </xdr:txBody>
      </xdr:sp>
      <xdr:sp macro="" textlink="">
        <xdr:nvSpPr>
          <xdr:cNvPr id="100" name="Oval 99">
            <a:extLst>
              <a:ext uri="{FF2B5EF4-FFF2-40B4-BE49-F238E27FC236}">
                <a16:creationId xmlns:a16="http://schemas.microsoft.com/office/drawing/2014/main" id="{EC09B91E-4856-2EC8-2019-4DEDBEE8B5A8}"/>
              </a:ext>
            </a:extLst>
          </xdr:cNvPr>
          <xdr:cNvSpPr/>
        </xdr:nvSpPr>
        <xdr:spPr>
          <a:xfrm flipH="1">
            <a:off x="7545881" y="2148840"/>
            <a:ext cx="73152" cy="73152"/>
          </a:xfrm>
          <a:prstGeom prst="ellipse">
            <a:avLst/>
          </a:prstGeom>
          <a:solidFill>
            <a:srgbClr val="948A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358140</xdr:colOff>
      <xdr:row>15</xdr:row>
      <xdr:rowOff>48768</xdr:rowOff>
    </xdr:from>
    <xdr:to>
      <xdr:col>11</xdr:col>
      <xdr:colOff>160020</xdr:colOff>
      <xdr:row>16</xdr:row>
      <xdr:rowOff>99060</xdr:rowOff>
    </xdr:to>
    <xdr:grpSp>
      <xdr:nvGrpSpPr>
        <xdr:cNvPr id="108" name="Group 107">
          <a:extLst>
            <a:ext uri="{FF2B5EF4-FFF2-40B4-BE49-F238E27FC236}">
              <a16:creationId xmlns:a16="http://schemas.microsoft.com/office/drawing/2014/main" id="{BBCB2544-0D3F-612F-2433-0F8A48729EF6}"/>
            </a:ext>
          </a:extLst>
        </xdr:cNvPr>
        <xdr:cNvGrpSpPr/>
      </xdr:nvGrpSpPr>
      <xdr:grpSpPr>
        <a:xfrm>
          <a:off x="5844540" y="2791968"/>
          <a:ext cx="1021080" cy="233172"/>
          <a:chOff x="7490460" y="2311908"/>
          <a:chExt cx="1021080" cy="225552"/>
        </a:xfrm>
      </xdr:grpSpPr>
      <xdr:sp macro="" textlink="">
        <xdr:nvSpPr>
          <xdr:cNvPr id="101" name="TextBox 100">
            <a:extLst>
              <a:ext uri="{FF2B5EF4-FFF2-40B4-BE49-F238E27FC236}">
                <a16:creationId xmlns:a16="http://schemas.microsoft.com/office/drawing/2014/main" id="{CE83D8C6-6EE5-B0A9-FF07-AE5BEF9EC5ED}"/>
              </a:ext>
            </a:extLst>
          </xdr:cNvPr>
          <xdr:cNvSpPr txBox="1"/>
        </xdr:nvSpPr>
        <xdr:spPr>
          <a:xfrm>
            <a:off x="7490460" y="2311908"/>
            <a:ext cx="1021080" cy="225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2">
                    <a:lumMod val="90000"/>
                  </a:schemeClr>
                </a:solidFill>
              </a:rPr>
              <a:t>HR</a:t>
            </a:r>
            <a:r>
              <a:rPr lang="en-US" sz="1100" b="0" baseline="0">
                <a:ln>
                  <a:solidFill>
                    <a:schemeClr val="bg1"/>
                  </a:solidFill>
                </a:ln>
                <a:solidFill>
                  <a:schemeClr val="bg2">
                    <a:lumMod val="90000"/>
                  </a:schemeClr>
                </a:solidFill>
              </a:rPr>
              <a:t> Specialist</a:t>
            </a:r>
            <a:endParaRPr lang="en-US" sz="1400" b="0">
              <a:ln>
                <a:solidFill>
                  <a:schemeClr val="bg1"/>
                </a:solidFill>
              </a:ln>
              <a:solidFill>
                <a:schemeClr val="bg2">
                  <a:lumMod val="90000"/>
                </a:schemeClr>
              </a:solidFill>
            </a:endParaRPr>
          </a:p>
        </xdr:txBody>
      </xdr:sp>
      <xdr:sp macro="" textlink="">
        <xdr:nvSpPr>
          <xdr:cNvPr id="102" name="Oval 101">
            <a:extLst>
              <a:ext uri="{FF2B5EF4-FFF2-40B4-BE49-F238E27FC236}">
                <a16:creationId xmlns:a16="http://schemas.microsoft.com/office/drawing/2014/main" id="{3D9FD187-272D-0A84-B27C-0153B9815B55}"/>
              </a:ext>
            </a:extLst>
          </xdr:cNvPr>
          <xdr:cNvSpPr/>
        </xdr:nvSpPr>
        <xdr:spPr>
          <a:xfrm>
            <a:off x="7490460" y="2377440"/>
            <a:ext cx="73152" cy="73152"/>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205740</xdr:colOff>
      <xdr:row>13</xdr:row>
      <xdr:rowOff>155448</xdr:rowOff>
    </xdr:from>
    <xdr:to>
      <xdr:col>12</xdr:col>
      <xdr:colOff>7620</xdr:colOff>
      <xdr:row>15</xdr:row>
      <xdr:rowOff>30480</xdr:rowOff>
    </xdr:to>
    <xdr:grpSp>
      <xdr:nvGrpSpPr>
        <xdr:cNvPr id="109" name="Group 108">
          <a:extLst>
            <a:ext uri="{FF2B5EF4-FFF2-40B4-BE49-F238E27FC236}">
              <a16:creationId xmlns:a16="http://schemas.microsoft.com/office/drawing/2014/main" id="{06A2BA97-6E3D-A06D-38A7-E68807364B16}"/>
            </a:ext>
          </a:extLst>
        </xdr:cNvPr>
        <xdr:cNvGrpSpPr/>
      </xdr:nvGrpSpPr>
      <xdr:grpSpPr>
        <a:xfrm>
          <a:off x="6301740" y="2532888"/>
          <a:ext cx="1021080" cy="240792"/>
          <a:chOff x="7360920" y="2578608"/>
          <a:chExt cx="1021080" cy="225552"/>
        </a:xfrm>
      </xdr:grpSpPr>
      <xdr:sp macro="" textlink="">
        <xdr:nvSpPr>
          <xdr:cNvPr id="103" name="TextBox 102">
            <a:extLst>
              <a:ext uri="{FF2B5EF4-FFF2-40B4-BE49-F238E27FC236}">
                <a16:creationId xmlns:a16="http://schemas.microsoft.com/office/drawing/2014/main" id="{EC436465-8AE4-2F05-CFB9-FD6C0AA63F14}"/>
              </a:ext>
            </a:extLst>
          </xdr:cNvPr>
          <xdr:cNvSpPr txBox="1"/>
        </xdr:nvSpPr>
        <xdr:spPr>
          <a:xfrm>
            <a:off x="7360920" y="2578608"/>
            <a:ext cx="1021080" cy="225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solidFill>
                    <a:schemeClr val="bg1"/>
                  </a:solidFill>
                </a:ln>
                <a:solidFill>
                  <a:schemeClr val="bg2">
                    <a:lumMod val="90000"/>
                  </a:schemeClr>
                </a:solidFill>
              </a:rPr>
              <a:t>Manager</a:t>
            </a:r>
            <a:endParaRPr lang="en-US" sz="1400" b="0">
              <a:ln>
                <a:solidFill>
                  <a:schemeClr val="bg1"/>
                </a:solidFill>
              </a:ln>
              <a:solidFill>
                <a:schemeClr val="bg2">
                  <a:lumMod val="90000"/>
                </a:schemeClr>
              </a:solidFill>
            </a:endParaRPr>
          </a:p>
        </xdr:txBody>
      </xdr:sp>
      <xdr:sp macro="" textlink="">
        <xdr:nvSpPr>
          <xdr:cNvPr id="104" name="Oval 103">
            <a:extLst>
              <a:ext uri="{FF2B5EF4-FFF2-40B4-BE49-F238E27FC236}">
                <a16:creationId xmlns:a16="http://schemas.microsoft.com/office/drawing/2014/main" id="{1105BA41-D621-EE73-C09E-168AF3B03C8D}"/>
              </a:ext>
            </a:extLst>
          </xdr:cNvPr>
          <xdr:cNvSpPr/>
        </xdr:nvSpPr>
        <xdr:spPr>
          <a:xfrm>
            <a:off x="7475220" y="2651760"/>
            <a:ext cx="76200" cy="76200"/>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449580</xdr:colOff>
      <xdr:row>3</xdr:row>
      <xdr:rowOff>3048</xdr:rowOff>
    </xdr:from>
    <xdr:to>
      <xdr:col>10</xdr:col>
      <xdr:colOff>91440</xdr:colOff>
      <xdr:row>4</xdr:row>
      <xdr:rowOff>83820</xdr:rowOff>
    </xdr:to>
    <xdr:sp macro="" textlink="">
      <xdr:nvSpPr>
        <xdr:cNvPr id="110" name="TextBox 109">
          <a:extLst>
            <a:ext uri="{FF2B5EF4-FFF2-40B4-BE49-F238E27FC236}">
              <a16:creationId xmlns:a16="http://schemas.microsoft.com/office/drawing/2014/main" id="{E2B28BA9-30E3-57F6-C441-F3D4F1A2B4EE}"/>
            </a:ext>
          </a:extLst>
        </xdr:cNvPr>
        <xdr:cNvSpPr txBox="1"/>
      </xdr:nvSpPr>
      <xdr:spPr>
        <a:xfrm>
          <a:off x="4716780" y="528828"/>
          <a:ext cx="1470660" cy="25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n>
                <a:solidFill>
                  <a:schemeClr val="bg1"/>
                </a:solidFill>
              </a:ln>
              <a:solidFill>
                <a:srgbClr val="E5B244"/>
              </a:solidFill>
            </a:rPr>
            <a:t> </a:t>
          </a:r>
          <a:r>
            <a:rPr lang="en-US" sz="1400" b="0">
              <a:ln>
                <a:solidFill>
                  <a:srgbClr val="E5B244"/>
                </a:solidFill>
              </a:ln>
              <a:solidFill>
                <a:srgbClr val="E5B244"/>
              </a:solidFill>
            </a:rPr>
            <a:t>Leave</a:t>
          </a:r>
          <a:r>
            <a:rPr lang="en-US" sz="1400" b="0" baseline="0">
              <a:ln>
                <a:solidFill>
                  <a:srgbClr val="E5B244"/>
                </a:solidFill>
              </a:ln>
              <a:solidFill>
                <a:srgbClr val="E5B244"/>
              </a:solidFill>
            </a:rPr>
            <a:t> Tracking</a:t>
          </a:r>
          <a:endParaRPr lang="en-US" sz="1600" b="0">
            <a:ln>
              <a:solidFill>
                <a:srgbClr val="E5B244"/>
              </a:solidFill>
            </a:ln>
            <a:solidFill>
              <a:srgbClr val="E5B244"/>
            </a:solidFill>
          </a:endParaRPr>
        </a:p>
      </xdr:txBody>
    </xdr:sp>
    <xdr:clientData/>
  </xdr:twoCellAnchor>
  <xdr:twoCellAnchor>
    <xdr:from>
      <xdr:col>7</xdr:col>
      <xdr:colOff>586740</xdr:colOff>
      <xdr:row>3</xdr:row>
      <xdr:rowOff>167639</xdr:rowOff>
    </xdr:from>
    <xdr:to>
      <xdr:col>11</xdr:col>
      <xdr:colOff>167640</xdr:colOff>
      <xdr:row>5</xdr:row>
      <xdr:rowOff>121920</xdr:rowOff>
    </xdr:to>
    <xdr:sp macro="" textlink="">
      <xdr:nvSpPr>
        <xdr:cNvPr id="111" name="TextBox 110">
          <a:extLst>
            <a:ext uri="{FF2B5EF4-FFF2-40B4-BE49-F238E27FC236}">
              <a16:creationId xmlns:a16="http://schemas.microsoft.com/office/drawing/2014/main" id="{4E9148F8-9450-5547-2359-547FEF036122}"/>
            </a:ext>
          </a:extLst>
        </xdr:cNvPr>
        <xdr:cNvSpPr txBox="1"/>
      </xdr:nvSpPr>
      <xdr:spPr>
        <a:xfrm>
          <a:off x="4853940" y="693419"/>
          <a:ext cx="20193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ln>
                <a:noFill/>
              </a:ln>
              <a:solidFill>
                <a:schemeClr val="bg1"/>
              </a:solidFill>
              <a:effectLst/>
              <a:latin typeface="+mn-lt"/>
              <a:ea typeface="+mn-ea"/>
              <a:cs typeface="+mn-cs"/>
            </a:rPr>
            <a:t>Leave</a:t>
          </a:r>
          <a:r>
            <a:rPr lang="en-US" sz="1200" b="1" i="0" u="none" strike="noStrike" baseline="0">
              <a:ln>
                <a:noFill/>
              </a:ln>
              <a:solidFill>
                <a:schemeClr val="bg1"/>
              </a:solidFill>
              <a:effectLst/>
              <a:latin typeface="+mn-lt"/>
              <a:ea typeface="+mn-ea"/>
              <a:cs typeface="+mn-cs"/>
            </a:rPr>
            <a:t> taken by job title </a:t>
          </a:r>
          <a:endParaRPr lang="en-US" sz="1200" b="1">
            <a:ln>
              <a:solidFill>
                <a:schemeClr val="bg1"/>
              </a:solidFill>
            </a:ln>
            <a:solidFill>
              <a:schemeClr val="bg1"/>
            </a:solidFill>
          </a:endParaRPr>
        </a:p>
      </xdr:txBody>
    </xdr:sp>
    <xdr:clientData/>
  </xdr:twoCellAnchor>
  <xdr:twoCellAnchor>
    <xdr:from>
      <xdr:col>12</xdr:col>
      <xdr:colOff>36060</xdr:colOff>
      <xdr:row>10</xdr:row>
      <xdr:rowOff>137160</xdr:rowOff>
    </xdr:from>
    <xdr:to>
      <xdr:col>17</xdr:col>
      <xdr:colOff>0</xdr:colOff>
      <xdr:row>17</xdr:row>
      <xdr:rowOff>91440</xdr:rowOff>
    </xdr:to>
    <xdr:graphicFrame macro="">
      <xdr:nvGraphicFramePr>
        <xdr:cNvPr id="112" name="Chart 111">
          <a:extLst>
            <a:ext uri="{FF2B5EF4-FFF2-40B4-BE49-F238E27FC236}">
              <a16:creationId xmlns:a16="http://schemas.microsoft.com/office/drawing/2014/main" id="{E6E78206-B085-4619-8C8B-1CE213135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586740</xdr:colOff>
      <xdr:row>8</xdr:row>
      <xdr:rowOff>41148</xdr:rowOff>
    </xdr:from>
    <xdr:to>
      <xdr:col>13</xdr:col>
      <xdr:colOff>289560</xdr:colOff>
      <xdr:row>9</xdr:row>
      <xdr:rowOff>106680</xdr:rowOff>
    </xdr:to>
    <xdr:sp macro="" textlink="">
      <xdr:nvSpPr>
        <xdr:cNvPr id="113" name="TextBox 112">
          <a:extLst>
            <a:ext uri="{FF2B5EF4-FFF2-40B4-BE49-F238E27FC236}">
              <a16:creationId xmlns:a16="http://schemas.microsoft.com/office/drawing/2014/main" id="{33413E79-878A-AE9C-A9C0-0658B92A4073}"/>
            </a:ext>
          </a:extLst>
        </xdr:cNvPr>
        <xdr:cNvSpPr txBox="1"/>
      </xdr:nvSpPr>
      <xdr:spPr>
        <a:xfrm>
          <a:off x="7292340" y="1443228"/>
          <a:ext cx="922020" cy="240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n>
                <a:solidFill>
                  <a:schemeClr val="bg1"/>
                </a:solidFill>
              </a:ln>
              <a:solidFill>
                <a:srgbClr val="E5B244"/>
              </a:solidFill>
            </a:rPr>
            <a:t> </a:t>
          </a:r>
          <a:r>
            <a:rPr lang="en-US" sz="1400" b="0">
              <a:ln>
                <a:solidFill>
                  <a:srgbClr val="E5B244"/>
                </a:solidFill>
              </a:ln>
              <a:solidFill>
                <a:srgbClr val="E5B244"/>
              </a:solidFill>
            </a:rPr>
            <a:t>Regions</a:t>
          </a:r>
          <a:endParaRPr lang="en-US" sz="1600" b="0">
            <a:ln>
              <a:solidFill>
                <a:srgbClr val="E5B244"/>
              </a:solidFill>
            </a:ln>
            <a:solidFill>
              <a:srgbClr val="E5B244"/>
            </a:solidFill>
          </a:endParaRPr>
        </a:p>
      </xdr:txBody>
    </xdr:sp>
    <xdr:clientData/>
  </xdr:twoCellAnchor>
  <xdr:twoCellAnchor>
    <xdr:from>
      <xdr:col>12</xdr:col>
      <xdr:colOff>83820</xdr:colOff>
      <xdr:row>9</xdr:row>
      <xdr:rowOff>53339</xdr:rowOff>
    </xdr:from>
    <xdr:to>
      <xdr:col>15</xdr:col>
      <xdr:colOff>274320</xdr:colOff>
      <xdr:row>11</xdr:row>
      <xdr:rowOff>7620</xdr:rowOff>
    </xdr:to>
    <xdr:sp macro="" textlink="">
      <xdr:nvSpPr>
        <xdr:cNvPr id="114" name="TextBox 113">
          <a:extLst>
            <a:ext uri="{FF2B5EF4-FFF2-40B4-BE49-F238E27FC236}">
              <a16:creationId xmlns:a16="http://schemas.microsoft.com/office/drawing/2014/main" id="{59204FB5-683A-37A4-0F50-FB13ED9C3DEA}"/>
            </a:ext>
          </a:extLst>
        </xdr:cNvPr>
        <xdr:cNvSpPr txBox="1"/>
      </xdr:nvSpPr>
      <xdr:spPr>
        <a:xfrm>
          <a:off x="7399020" y="1630679"/>
          <a:ext cx="20193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ln>
                <a:noFill/>
              </a:ln>
              <a:solidFill>
                <a:schemeClr val="bg1"/>
              </a:solidFill>
              <a:effectLst/>
              <a:latin typeface="+mn-lt"/>
              <a:ea typeface="+mn-ea"/>
              <a:cs typeface="+mn-cs"/>
            </a:rPr>
            <a:t>Employees</a:t>
          </a:r>
          <a:r>
            <a:rPr lang="en-US" sz="1200" b="1" i="0" u="none" strike="noStrike" baseline="0">
              <a:ln>
                <a:noFill/>
              </a:ln>
              <a:solidFill>
                <a:schemeClr val="bg1"/>
              </a:solidFill>
              <a:effectLst/>
              <a:latin typeface="+mn-lt"/>
              <a:ea typeface="+mn-ea"/>
              <a:cs typeface="+mn-cs"/>
            </a:rPr>
            <a:t> per region</a:t>
          </a:r>
        </a:p>
      </xdr:txBody>
    </xdr:sp>
    <xdr:clientData/>
  </xdr:twoCellAnchor>
  <xdr:twoCellAnchor>
    <xdr:from>
      <xdr:col>4</xdr:col>
      <xdr:colOff>60960</xdr:colOff>
      <xdr:row>10</xdr:row>
      <xdr:rowOff>7620</xdr:rowOff>
    </xdr:from>
    <xdr:to>
      <xdr:col>5</xdr:col>
      <xdr:colOff>579120</xdr:colOff>
      <xdr:row>11</xdr:row>
      <xdr:rowOff>102108</xdr:rowOff>
    </xdr:to>
    <xdr:sp macro="" textlink="">
      <xdr:nvSpPr>
        <xdr:cNvPr id="115" name="TextBox 114">
          <a:extLst>
            <a:ext uri="{FF2B5EF4-FFF2-40B4-BE49-F238E27FC236}">
              <a16:creationId xmlns:a16="http://schemas.microsoft.com/office/drawing/2014/main" id="{F5EE36B3-5329-1D82-4D34-A0A5C307BC0E}"/>
            </a:ext>
          </a:extLst>
        </xdr:cNvPr>
        <xdr:cNvSpPr txBox="1"/>
      </xdr:nvSpPr>
      <xdr:spPr>
        <a:xfrm>
          <a:off x="2499360" y="1836420"/>
          <a:ext cx="1127760" cy="27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i="0" u="none" strike="noStrike">
              <a:solidFill>
                <a:schemeClr val="bg1"/>
              </a:solidFill>
              <a:effectLst/>
              <a:latin typeface="+mn-lt"/>
              <a:ea typeface="+mn-ea"/>
              <a:cs typeface="+mn-cs"/>
            </a:rPr>
            <a:t>Total</a:t>
          </a:r>
          <a:r>
            <a:rPr lang="en-US" sz="1050" b="1" i="0" u="none" strike="noStrike" baseline="0">
              <a:solidFill>
                <a:schemeClr val="bg1"/>
              </a:solidFill>
              <a:effectLst/>
              <a:latin typeface="+mn-lt"/>
              <a:ea typeface="+mn-ea"/>
              <a:cs typeface="+mn-cs"/>
            </a:rPr>
            <a:t> Employees</a:t>
          </a:r>
          <a:r>
            <a:rPr lang="en-US" sz="1200" b="1">
              <a:solidFill>
                <a:schemeClr val="bg1"/>
              </a:solidFill>
              <a:effectLst/>
            </a:rPr>
            <a:t> </a:t>
          </a:r>
          <a:endParaRPr lang="en-US" sz="1200" b="1">
            <a:ln>
              <a:solidFill>
                <a:schemeClr val="bg1"/>
              </a:solidFill>
            </a:ln>
            <a:solidFill>
              <a:schemeClr val="bg1"/>
            </a:solidFill>
          </a:endParaRPr>
        </a:p>
      </xdr:txBody>
    </xdr:sp>
    <xdr:clientData/>
  </xdr:twoCellAnchor>
  <xdr:twoCellAnchor>
    <xdr:from>
      <xdr:col>12</xdr:col>
      <xdr:colOff>266700</xdr:colOff>
      <xdr:row>2</xdr:row>
      <xdr:rowOff>160020</xdr:rowOff>
    </xdr:from>
    <xdr:to>
      <xdr:col>14</xdr:col>
      <xdr:colOff>83820</xdr:colOff>
      <xdr:row>6</xdr:row>
      <xdr:rowOff>152399</xdr:rowOff>
    </xdr:to>
    <xdr:sp macro="" textlink="'Pivot Table '!Z17">
      <xdr:nvSpPr>
        <xdr:cNvPr id="116" name="TextBox 115">
          <a:extLst>
            <a:ext uri="{FF2B5EF4-FFF2-40B4-BE49-F238E27FC236}">
              <a16:creationId xmlns:a16="http://schemas.microsoft.com/office/drawing/2014/main" id="{3C686607-EF4E-8191-A874-CBEE24D679A8}"/>
            </a:ext>
          </a:extLst>
        </xdr:cNvPr>
        <xdr:cNvSpPr txBox="1"/>
      </xdr:nvSpPr>
      <xdr:spPr>
        <a:xfrm>
          <a:off x="7581900" y="510540"/>
          <a:ext cx="1036320" cy="693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DD2AED-D6E6-446A-B9BE-8B83DD6898D6}" type="TxLink">
            <a:rPr lang="en-US" sz="4400" b="1" i="0" u="none" strike="noStrike">
              <a:ln>
                <a:solidFill>
                  <a:srgbClr val="E5B244"/>
                </a:solidFill>
              </a:ln>
              <a:solidFill>
                <a:srgbClr val="E5B244"/>
              </a:solidFill>
              <a:latin typeface="Aptos Narrow"/>
            </a:rPr>
            <a:pPr algn="ctr"/>
            <a:t>2.6</a:t>
          </a:fld>
          <a:endParaRPr lang="en-US" sz="23900" b="1">
            <a:ln>
              <a:solidFill>
                <a:srgbClr val="E5B244"/>
              </a:solidFill>
            </a:ln>
            <a:solidFill>
              <a:srgbClr val="E5B244"/>
            </a:solidFill>
          </a:endParaRPr>
        </a:p>
      </xdr:txBody>
    </xdr:sp>
    <xdr:clientData/>
  </xdr:twoCellAnchor>
  <xdr:twoCellAnchor>
    <xdr:from>
      <xdr:col>12</xdr:col>
      <xdr:colOff>335280</xdr:colOff>
      <xdr:row>5</xdr:row>
      <xdr:rowOff>160020</xdr:rowOff>
    </xdr:from>
    <xdr:to>
      <xdr:col>14</xdr:col>
      <xdr:colOff>243840</xdr:colOff>
      <xdr:row>7</xdr:row>
      <xdr:rowOff>79248</xdr:rowOff>
    </xdr:to>
    <xdr:sp macro="" textlink="">
      <xdr:nvSpPr>
        <xdr:cNvPr id="117" name="TextBox 116">
          <a:extLst>
            <a:ext uri="{FF2B5EF4-FFF2-40B4-BE49-F238E27FC236}">
              <a16:creationId xmlns:a16="http://schemas.microsoft.com/office/drawing/2014/main" id="{C2A47C80-4EAB-42DD-B3E1-9B0CD2764CB5}"/>
            </a:ext>
          </a:extLst>
        </xdr:cNvPr>
        <xdr:cNvSpPr txBox="1"/>
      </xdr:nvSpPr>
      <xdr:spPr>
        <a:xfrm>
          <a:off x="7650480" y="1036320"/>
          <a:ext cx="1127760" cy="269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i="0" u="none" strike="noStrike">
              <a:solidFill>
                <a:schemeClr val="bg1"/>
              </a:solidFill>
              <a:effectLst/>
              <a:latin typeface="+mn-lt"/>
              <a:ea typeface="+mn-ea"/>
              <a:cs typeface="+mn-cs"/>
            </a:rPr>
            <a:t>Average</a:t>
          </a:r>
          <a:r>
            <a:rPr lang="en-US" sz="1050" b="1" i="0" u="none" strike="noStrike" baseline="0">
              <a:solidFill>
                <a:schemeClr val="bg1"/>
              </a:solidFill>
              <a:effectLst/>
              <a:latin typeface="+mn-lt"/>
              <a:ea typeface="+mn-ea"/>
              <a:cs typeface="+mn-cs"/>
            </a:rPr>
            <a:t> Rating</a:t>
          </a:r>
          <a:r>
            <a:rPr lang="en-US" sz="1200" b="1">
              <a:solidFill>
                <a:schemeClr val="bg1"/>
              </a:solidFill>
              <a:effectLst/>
            </a:rPr>
            <a:t> </a:t>
          </a:r>
          <a:endParaRPr lang="en-US" sz="1200" b="1">
            <a:ln>
              <a:solidFill>
                <a:schemeClr val="bg1"/>
              </a:solidFill>
            </a:ln>
            <a:solidFill>
              <a:schemeClr val="bg1"/>
            </a:solidFill>
          </a:endParaRPr>
        </a:p>
      </xdr:txBody>
    </xdr:sp>
    <xdr:clientData/>
  </xdr:twoCellAnchor>
  <xdr:twoCellAnchor editAs="oneCell">
    <xdr:from>
      <xdr:col>15</xdr:col>
      <xdr:colOff>30480</xdr:colOff>
      <xdr:row>2</xdr:row>
      <xdr:rowOff>106680</xdr:rowOff>
    </xdr:from>
    <xdr:to>
      <xdr:col>16</xdr:col>
      <xdr:colOff>335280</xdr:colOff>
      <xdr:row>7</xdr:row>
      <xdr:rowOff>106680</xdr:rowOff>
    </xdr:to>
    <xdr:pic>
      <xdr:nvPicPr>
        <xdr:cNvPr id="119" name="Graphic 118" descr="Bar graph with upward trend">
          <a:extLst>
            <a:ext uri="{FF2B5EF4-FFF2-40B4-BE49-F238E27FC236}">
              <a16:creationId xmlns:a16="http://schemas.microsoft.com/office/drawing/2014/main" id="{E3FF3886-45DD-4ACC-9CE7-765926BFD29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174480" y="457200"/>
          <a:ext cx="914400" cy="914400"/>
        </a:xfrm>
        <a:prstGeom prst="rect">
          <a:avLst/>
        </a:prstGeom>
      </xdr:spPr>
    </xdr:pic>
    <xdr:clientData/>
  </xdr:twoCellAnchor>
  <xdr:twoCellAnchor>
    <xdr:from>
      <xdr:col>12</xdr:col>
      <xdr:colOff>15240</xdr:colOff>
      <xdr:row>0</xdr:row>
      <xdr:rowOff>147828</xdr:rowOff>
    </xdr:from>
    <xdr:to>
      <xdr:col>15</xdr:col>
      <xdr:colOff>312420</xdr:colOff>
      <xdr:row>2</xdr:row>
      <xdr:rowOff>53340</xdr:rowOff>
    </xdr:to>
    <xdr:sp macro="" textlink="">
      <xdr:nvSpPr>
        <xdr:cNvPr id="120" name="TextBox 119">
          <a:extLst>
            <a:ext uri="{FF2B5EF4-FFF2-40B4-BE49-F238E27FC236}">
              <a16:creationId xmlns:a16="http://schemas.microsoft.com/office/drawing/2014/main" id="{A1FFC303-33ED-9BA5-37FD-0BC6C5B5BD70}"/>
            </a:ext>
          </a:extLst>
        </xdr:cNvPr>
        <xdr:cNvSpPr txBox="1"/>
      </xdr:nvSpPr>
      <xdr:spPr>
        <a:xfrm>
          <a:off x="7330440" y="147828"/>
          <a:ext cx="2125980" cy="25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n>
                <a:solidFill>
                  <a:schemeClr val="bg1"/>
                </a:solidFill>
              </a:ln>
              <a:solidFill>
                <a:srgbClr val="E5B244"/>
              </a:solidFill>
            </a:rPr>
            <a:t> </a:t>
          </a:r>
          <a:r>
            <a:rPr lang="en-US" sz="1400" b="0">
              <a:ln>
                <a:solidFill>
                  <a:srgbClr val="E5B244"/>
                </a:solidFill>
              </a:ln>
              <a:solidFill>
                <a:srgbClr val="E5B244"/>
              </a:solidFill>
            </a:rPr>
            <a:t>Performance Rating</a:t>
          </a:r>
          <a:endParaRPr lang="en-US" sz="1600" b="0">
            <a:ln>
              <a:solidFill>
                <a:srgbClr val="E5B244"/>
              </a:solidFill>
            </a:ln>
            <a:solidFill>
              <a:srgbClr val="E5B244"/>
            </a:solidFill>
          </a:endParaRPr>
        </a:p>
      </xdr:txBody>
    </xdr:sp>
    <xdr:clientData/>
  </xdr:twoCellAnchor>
  <xdr:twoCellAnchor>
    <xdr:from>
      <xdr:col>12</xdr:col>
      <xdr:colOff>312420</xdr:colOff>
      <xdr:row>1</xdr:row>
      <xdr:rowOff>129539</xdr:rowOff>
    </xdr:from>
    <xdr:to>
      <xdr:col>15</xdr:col>
      <xdr:colOff>502920</xdr:colOff>
      <xdr:row>3</xdr:row>
      <xdr:rowOff>83820</xdr:rowOff>
    </xdr:to>
    <xdr:sp macro="" textlink="">
      <xdr:nvSpPr>
        <xdr:cNvPr id="121" name="TextBox 120">
          <a:extLst>
            <a:ext uri="{FF2B5EF4-FFF2-40B4-BE49-F238E27FC236}">
              <a16:creationId xmlns:a16="http://schemas.microsoft.com/office/drawing/2014/main" id="{9BAB20D5-35DE-FCD2-6AFB-1D6B033DFFE8}"/>
            </a:ext>
          </a:extLst>
        </xdr:cNvPr>
        <xdr:cNvSpPr txBox="1"/>
      </xdr:nvSpPr>
      <xdr:spPr>
        <a:xfrm>
          <a:off x="7627620" y="304799"/>
          <a:ext cx="201930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ln>
                <a:noFill/>
              </a:ln>
              <a:solidFill>
                <a:schemeClr val="bg1"/>
              </a:solidFill>
              <a:effectLst/>
              <a:latin typeface="+mn-lt"/>
              <a:ea typeface="+mn-ea"/>
              <a:cs typeface="+mn-cs"/>
            </a:rPr>
            <a:t>Average</a:t>
          </a:r>
          <a:r>
            <a:rPr lang="en-US" sz="1200" b="1" i="0" u="none" strike="noStrike" baseline="0">
              <a:ln>
                <a:noFill/>
              </a:ln>
              <a:solidFill>
                <a:schemeClr val="bg1"/>
              </a:solidFill>
              <a:effectLst/>
              <a:latin typeface="+mn-lt"/>
              <a:ea typeface="+mn-ea"/>
              <a:cs typeface="+mn-cs"/>
            </a:rPr>
            <a:t> Performance Rating </a:t>
          </a:r>
          <a:endParaRPr lang="en-US" sz="1200" b="1">
            <a:ln>
              <a:solidFill>
                <a:schemeClr val="bg1"/>
              </a:solidFill>
            </a:ln>
            <a:solidFill>
              <a:schemeClr val="bg1"/>
            </a:solidFill>
          </a:endParaRPr>
        </a:p>
      </xdr:txBody>
    </xdr:sp>
    <xdr:clientData/>
  </xdr:twoCellAnchor>
  <xdr:twoCellAnchor>
    <xdr:from>
      <xdr:col>12</xdr:col>
      <xdr:colOff>274320</xdr:colOff>
      <xdr:row>1</xdr:row>
      <xdr:rowOff>91440</xdr:rowOff>
    </xdr:from>
    <xdr:to>
      <xdr:col>12</xdr:col>
      <xdr:colOff>320040</xdr:colOff>
      <xdr:row>1</xdr:row>
      <xdr:rowOff>137160</xdr:rowOff>
    </xdr:to>
    <xdr:sp macro="" textlink="">
      <xdr:nvSpPr>
        <xdr:cNvPr id="122" name="Oval 121">
          <a:extLst>
            <a:ext uri="{FF2B5EF4-FFF2-40B4-BE49-F238E27FC236}">
              <a16:creationId xmlns:a16="http://schemas.microsoft.com/office/drawing/2014/main" id="{BF920664-8BBC-7FF2-9C98-20BDDC1A1486}"/>
            </a:ext>
          </a:extLst>
        </xdr:cNvPr>
        <xdr:cNvSpPr/>
      </xdr:nvSpPr>
      <xdr:spPr>
        <a:xfrm>
          <a:off x="7589520" y="266700"/>
          <a:ext cx="45720" cy="45720"/>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289560</xdr:colOff>
      <xdr:row>18</xdr:row>
      <xdr:rowOff>15240</xdr:rowOff>
    </xdr:from>
    <xdr:to>
      <xdr:col>12</xdr:col>
      <xdr:colOff>362712</xdr:colOff>
      <xdr:row>18</xdr:row>
      <xdr:rowOff>88392</xdr:rowOff>
    </xdr:to>
    <xdr:sp macro="" textlink="">
      <xdr:nvSpPr>
        <xdr:cNvPr id="123" name="Oval 122">
          <a:extLst>
            <a:ext uri="{FF2B5EF4-FFF2-40B4-BE49-F238E27FC236}">
              <a16:creationId xmlns:a16="http://schemas.microsoft.com/office/drawing/2014/main" id="{CD1F5094-81BA-B3B8-6EB5-75A0C99C5C07}"/>
            </a:ext>
          </a:extLst>
        </xdr:cNvPr>
        <xdr:cNvSpPr/>
      </xdr:nvSpPr>
      <xdr:spPr>
        <a:xfrm>
          <a:off x="7604760" y="3307080"/>
          <a:ext cx="73152" cy="73152"/>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579120</xdr:colOff>
      <xdr:row>3</xdr:row>
      <xdr:rowOff>114300</xdr:rowOff>
    </xdr:from>
    <xdr:to>
      <xdr:col>8</xdr:col>
      <xdr:colOff>15240</xdr:colOff>
      <xdr:row>3</xdr:row>
      <xdr:rowOff>160020</xdr:rowOff>
    </xdr:to>
    <xdr:sp macro="" textlink="">
      <xdr:nvSpPr>
        <xdr:cNvPr id="124" name="Oval 123">
          <a:extLst>
            <a:ext uri="{FF2B5EF4-FFF2-40B4-BE49-F238E27FC236}">
              <a16:creationId xmlns:a16="http://schemas.microsoft.com/office/drawing/2014/main" id="{59C049F0-1694-D1FA-6633-C7DF1B3FB0E8}"/>
            </a:ext>
          </a:extLst>
        </xdr:cNvPr>
        <xdr:cNvSpPr/>
      </xdr:nvSpPr>
      <xdr:spPr>
        <a:xfrm>
          <a:off x="4846320" y="662940"/>
          <a:ext cx="45720" cy="45720"/>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152662</xdr:colOff>
      <xdr:row>0</xdr:row>
      <xdr:rowOff>158647</xdr:rowOff>
    </xdr:from>
    <xdr:to>
      <xdr:col>2</xdr:col>
      <xdr:colOff>121659</xdr:colOff>
      <xdr:row>6</xdr:row>
      <xdr:rowOff>169014</xdr:rowOff>
    </xdr:to>
    <xdr:grpSp>
      <xdr:nvGrpSpPr>
        <xdr:cNvPr id="135" name="Group 134">
          <a:extLst>
            <a:ext uri="{FF2B5EF4-FFF2-40B4-BE49-F238E27FC236}">
              <a16:creationId xmlns:a16="http://schemas.microsoft.com/office/drawing/2014/main" id="{B98F4CE3-1B24-0E17-49A7-204EDDF82C1A}"/>
            </a:ext>
          </a:extLst>
        </xdr:cNvPr>
        <xdr:cNvGrpSpPr/>
      </xdr:nvGrpSpPr>
      <xdr:grpSpPr>
        <a:xfrm>
          <a:off x="152662" y="158647"/>
          <a:ext cx="1188197" cy="1107647"/>
          <a:chOff x="10744200" y="807720"/>
          <a:chExt cx="1371600" cy="1630680"/>
        </a:xfrm>
      </xdr:grpSpPr>
      <xdr:grpSp>
        <xdr:nvGrpSpPr>
          <xdr:cNvPr id="133" name="Group 132">
            <a:extLst>
              <a:ext uri="{FF2B5EF4-FFF2-40B4-BE49-F238E27FC236}">
                <a16:creationId xmlns:a16="http://schemas.microsoft.com/office/drawing/2014/main" id="{5BCE3564-99CB-E51A-D692-FBC440048C0B}"/>
              </a:ext>
            </a:extLst>
          </xdr:cNvPr>
          <xdr:cNvGrpSpPr/>
        </xdr:nvGrpSpPr>
        <xdr:grpSpPr>
          <a:xfrm>
            <a:off x="10843260" y="807720"/>
            <a:ext cx="1112520" cy="952500"/>
            <a:chOff x="10843260" y="807720"/>
            <a:chExt cx="1112520" cy="952500"/>
          </a:xfrm>
        </xdr:grpSpPr>
        <xdr:sp macro="" textlink="">
          <xdr:nvSpPr>
            <xdr:cNvPr id="130" name="Rectangle: Rounded Corners 129">
              <a:extLst>
                <a:ext uri="{FF2B5EF4-FFF2-40B4-BE49-F238E27FC236}">
                  <a16:creationId xmlns:a16="http://schemas.microsoft.com/office/drawing/2014/main" id="{4A502F85-A5F2-114E-73F0-725E68706A11}"/>
                </a:ext>
              </a:extLst>
            </xdr:cNvPr>
            <xdr:cNvSpPr/>
          </xdr:nvSpPr>
          <xdr:spPr>
            <a:xfrm>
              <a:off x="10843260" y="807720"/>
              <a:ext cx="1112520" cy="830580"/>
            </a:xfrm>
            <a:prstGeom prst="roundRect">
              <a:avLst/>
            </a:prstGeom>
            <a:no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7" name="Graphic 126" descr="City">
              <a:extLst>
                <a:ext uri="{FF2B5EF4-FFF2-40B4-BE49-F238E27FC236}">
                  <a16:creationId xmlns:a16="http://schemas.microsoft.com/office/drawing/2014/main" id="{549453BD-4404-00EC-6596-4C9CB7AE8BB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942320" y="845820"/>
              <a:ext cx="914400" cy="914400"/>
            </a:xfrm>
            <a:prstGeom prst="rect">
              <a:avLst/>
            </a:prstGeom>
          </xdr:spPr>
        </xdr:pic>
      </xdr:grpSp>
      <xdr:grpSp>
        <xdr:nvGrpSpPr>
          <xdr:cNvPr id="132" name="Group 131">
            <a:extLst>
              <a:ext uri="{FF2B5EF4-FFF2-40B4-BE49-F238E27FC236}">
                <a16:creationId xmlns:a16="http://schemas.microsoft.com/office/drawing/2014/main" id="{E4C28E0C-74BD-5974-BFD9-6430A9EFED92}"/>
              </a:ext>
            </a:extLst>
          </xdr:cNvPr>
          <xdr:cNvGrpSpPr/>
        </xdr:nvGrpSpPr>
        <xdr:grpSpPr>
          <a:xfrm>
            <a:off x="10744200" y="1524000"/>
            <a:ext cx="1371600" cy="914400"/>
            <a:chOff x="10980420" y="1531620"/>
            <a:chExt cx="1371600" cy="914400"/>
          </a:xfrm>
        </xdr:grpSpPr>
        <xdr:pic>
          <xdr:nvPicPr>
            <xdr:cNvPr id="129" name="Graphic 128" descr="Users">
              <a:extLst>
                <a:ext uri="{FF2B5EF4-FFF2-40B4-BE49-F238E27FC236}">
                  <a16:creationId xmlns:a16="http://schemas.microsoft.com/office/drawing/2014/main" id="{B813651F-8C1C-33BB-7E40-EAF7262E6F5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980420" y="1531620"/>
              <a:ext cx="914400" cy="914400"/>
            </a:xfrm>
            <a:prstGeom prst="rect">
              <a:avLst/>
            </a:prstGeom>
          </xdr:spPr>
        </xdr:pic>
        <xdr:pic>
          <xdr:nvPicPr>
            <xdr:cNvPr id="131" name="Graphic 130" descr="Users">
              <a:extLst>
                <a:ext uri="{FF2B5EF4-FFF2-40B4-BE49-F238E27FC236}">
                  <a16:creationId xmlns:a16="http://schemas.microsoft.com/office/drawing/2014/main" id="{8B7714DB-4AA6-AFDC-6A9A-D145C3B027F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437620" y="1531620"/>
              <a:ext cx="914400" cy="914400"/>
            </a:xfrm>
            <a:prstGeom prst="rect">
              <a:avLst/>
            </a:prstGeom>
          </xdr:spPr>
        </xdr:pic>
      </xdr:grpSp>
    </xdr:grpSp>
    <xdr:clientData/>
  </xdr:twoCellAnchor>
  <xdr:twoCellAnchor>
    <xdr:from>
      <xdr:col>2</xdr:col>
      <xdr:colOff>91440</xdr:colOff>
      <xdr:row>0</xdr:row>
      <xdr:rowOff>22860</xdr:rowOff>
    </xdr:from>
    <xdr:to>
      <xdr:col>5</xdr:col>
      <xdr:colOff>7620</xdr:colOff>
      <xdr:row>4</xdr:row>
      <xdr:rowOff>22860</xdr:rowOff>
    </xdr:to>
    <xdr:sp macro="" textlink="'Pivot Table '!J18">
      <xdr:nvSpPr>
        <xdr:cNvPr id="136" name="TextBox 135">
          <a:extLst>
            <a:ext uri="{FF2B5EF4-FFF2-40B4-BE49-F238E27FC236}">
              <a16:creationId xmlns:a16="http://schemas.microsoft.com/office/drawing/2014/main" id="{F272D073-1D47-77A7-9D2D-FF50FD397012}"/>
            </a:ext>
          </a:extLst>
        </xdr:cNvPr>
        <xdr:cNvSpPr txBox="1"/>
      </xdr:nvSpPr>
      <xdr:spPr>
        <a:xfrm>
          <a:off x="1310640" y="22860"/>
          <a:ext cx="174498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ln>
                <a:solidFill>
                  <a:srgbClr val="E5B244"/>
                </a:solidFill>
              </a:ln>
              <a:solidFill>
                <a:srgbClr val="E5B244"/>
              </a:solidFill>
            </a:rPr>
            <a:t>HR</a:t>
          </a:r>
        </a:p>
        <a:p>
          <a:pPr algn="l"/>
          <a:r>
            <a:rPr lang="en-US" sz="2000" b="1">
              <a:ln>
                <a:solidFill>
                  <a:srgbClr val="E5B244"/>
                </a:solidFill>
              </a:ln>
              <a:solidFill>
                <a:srgbClr val="E5B244"/>
              </a:solidFill>
            </a:rPr>
            <a:t>Dashbord</a:t>
          </a:r>
          <a:endParaRPr lang="en-US" sz="5400" b="1">
            <a:ln>
              <a:solidFill>
                <a:srgbClr val="E5B244"/>
              </a:solidFill>
            </a:ln>
            <a:solidFill>
              <a:srgbClr val="E5B244"/>
            </a:solidFill>
          </a:endParaRPr>
        </a:p>
      </xdr:txBody>
    </xdr:sp>
    <xdr:clientData/>
  </xdr:twoCellAnchor>
  <xdr:twoCellAnchor>
    <xdr:from>
      <xdr:col>2</xdr:col>
      <xdr:colOff>83820</xdr:colOff>
      <xdr:row>3</xdr:row>
      <xdr:rowOff>99059</xdr:rowOff>
    </xdr:from>
    <xdr:to>
      <xdr:col>6</xdr:col>
      <xdr:colOff>449580</xdr:colOff>
      <xdr:row>5</xdr:row>
      <xdr:rowOff>53340</xdr:rowOff>
    </xdr:to>
    <xdr:sp macro="" textlink="">
      <xdr:nvSpPr>
        <xdr:cNvPr id="137" name="TextBox 136">
          <a:extLst>
            <a:ext uri="{FF2B5EF4-FFF2-40B4-BE49-F238E27FC236}">
              <a16:creationId xmlns:a16="http://schemas.microsoft.com/office/drawing/2014/main" id="{E3D8EBA9-CE94-EB84-0831-4DC12EC79694}"/>
            </a:ext>
          </a:extLst>
        </xdr:cNvPr>
        <xdr:cNvSpPr txBox="1"/>
      </xdr:nvSpPr>
      <xdr:spPr>
        <a:xfrm>
          <a:off x="1303020" y="647699"/>
          <a:ext cx="2804160" cy="320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ln>
                <a:noFill/>
              </a:ln>
              <a:solidFill>
                <a:schemeClr val="bg1"/>
              </a:solidFill>
              <a:effectLst/>
              <a:latin typeface="+mn-lt"/>
              <a:ea typeface="+mn-ea"/>
              <a:cs typeface="+mn-cs"/>
            </a:rPr>
            <a:t>Analyze</a:t>
          </a:r>
          <a:r>
            <a:rPr lang="en-US" sz="1200" b="1" i="0" u="none" strike="noStrike" baseline="0">
              <a:ln>
                <a:noFill/>
              </a:ln>
              <a:solidFill>
                <a:schemeClr val="bg1"/>
              </a:solidFill>
              <a:effectLst/>
              <a:latin typeface="+mn-lt"/>
              <a:ea typeface="+mn-ea"/>
              <a:cs typeface="+mn-cs"/>
            </a:rPr>
            <a:t> and monitor the HR department </a:t>
          </a:r>
          <a:endParaRPr lang="en-US" sz="1200" b="1">
            <a:ln>
              <a:solidFill>
                <a:schemeClr val="bg1"/>
              </a:solidFill>
            </a:ln>
            <a:solidFill>
              <a:schemeClr val="bg1"/>
            </a:solidFill>
          </a:endParaRPr>
        </a:p>
      </xdr:txBody>
    </xdr:sp>
    <xdr:clientData/>
  </xdr:twoCellAnchor>
  <xdr:twoCellAnchor editAs="oneCell">
    <xdr:from>
      <xdr:col>17</xdr:col>
      <xdr:colOff>106680</xdr:colOff>
      <xdr:row>0</xdr:row>
      <xdr:rowOff>114300</xdr:rowOff>
    </xdr:from>
    <xdr:to>
      <xdr:col>20</xdr:col>
      <xdr:colOff>106680</xdr:colOff>
      <xdr:row>10</xdr:row>
      <xdr:rowOff>91440</xdr:rowOff>
    </xdr:to>
    <mc:AlternateContent xmlns:mc="http://schemas.openxmlformats.org/markup-compatibility/2006" xmlns:a14="http://schemas.microsoft.com/office/drawing/2010/main">
      <mc:Choice Requires="a14">
        <xdr:graphicFrame macro="">
          <xdr:nvGraphicFramePr>
            <xdr:cNvPr id="138" name="Department">
              <a:extLst>
                <a:ext uri="{FF2B5EF4-FFF2-40B4-BE49-F238E27FC236}">
                  <a16:creationId xmlns:a16="http://schemas.microsoft.com/office/drawing/2014/main" id="{3F3882EE-A595-4ECD-9BFC-526E7ECBEAB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469880" y="114300"/>
              <a:ext cx="1828800" cy="1805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106680</xdr:colOff>
      <xdr:row>11</xdr:row>
      <xdr:rowOff>45720</xdr:rowOff>
    </xdr:from>
    <xdr:to>
      <xdr:col>20</xdr:col>
      <xdr:colOff>167640</xdr:colOff>
      <xdr:row>16</xdr:row>
      <xdr:rowOff>144779</xdr:rowOff>
    </xdr:to>
    <mc:AlternateContent xmlns:mc="http://schemas.openxmlformats.org/markup-compatibility/2006" xmlns:a14="http://schemas.microsoft.com/office/drawing/2010/main">
      <mc:Choice Requires="a14">
        <xdr:graphicFrame macro="">
          <xdr:nvGraphicFramePr>
            <xdr:cNvPr id="139" name="Gender">
              <a:extLst>
                <a:ext uri="{FF2B5EF4-FFF2-40B4-BE49-F238E27FC236}">
                  <a16:creationId xmlns:a16="http://schemas.microsoft.com/office/drawing/2014/main" id="{7AD7AC4A-150E-494A-9C9F-AD1CB01EA3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69880" y="2057400"/>
              <a:ext cx="1889760" cy="1013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563880</xdr:colOff>
      <xdr:row>0</xdr:row>
      <xdr:rowOff>71628</xdr:rowOff>
    </xdr:from>
    <xdr:to>
      <xdr:col>19</xdr:col>
      <xdr:colOff>205740</xdr:colOff>
      <xdr:row>1</xdr:row>
      <xdr:rowOff>152400</xdr:rowOff>
    </xdr:to>
    <xdr:sp macro="" textlink="">
      <xdr:nvSpPr>
        <xdr:cNvPr id="140" name="TextBox 139">
          <a:extLst>
            <a:ext uri="{FF2B5EF4-FFF2-40B4-BE49-F238E27FC236}">
              <a16:creationId xmlns:a16="http://schemas.microsoft.com/office/drawing/2014/main" id="{F7A4F390-D8F8-EC3E-9A36-E34A0934BC7F}"/>
            </a:ext>
          </a:extLst>
        </xdr:cNvPr>
        <xdr:cNvSpPr txBox="1"/>
      </xdr:nvSpPr>
      <xdr:spPr>
        <a:xfrm>
          <a:off x="10317480" y="71628"/>
          <a:ext cx="1470660" cy="263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n>
                <a:solidFill>
                  <a:schemeClr val="bg2">
                    <a:lumMod val="75000"/>
                  </a:schemeClr>
                </a:solidFill>
              </a:ln>
              <a:solidFill>
                <a:schemeClr val="bg2">
                  <a:lumMod val="75000"/>
                </a:schemeClr>
              </a:solidFill>
            </a:rPr>
            <a:t> </a:t>
          </a:r>
          <a:r>
            <a:rPr lang="en-US" sz="1200" b="1">
              <a:ln>
                <a:solidFill>
                  <a:schemeClr val="bg2">
                    <a:lumMod val="75000"/>
                  </a:schemeClr>
                </a:solidFill>
              </a:ln>
              <a:solidFill>
                <a:schemeClr val="bg2">
                  <a:lumMod val="75000"/>
                </a:schemeClr>
              </a:solidFill>
            </a:rPr>
            <a:t>Filter</a:t>
          </a:r>
          <a:r>
            <a:rPr lang="en-US" sz="1200" b="1" baseline="0">
              <a:ln>
                <a:solidFill>
                  <a:schemeClr val="bg2">
                    <a:lumMod val="75000"/>
                  </a:schemeClr>
                </a:solidFill>
              </a:ln>
              <a:solidFill>
                <a:schemeClr val="bg2">
                  <a:lumMod val="75000"/>
                </a:schemeClr>
              </a:solidFill>
            </a:rPr>
            <a:t> by gender</a:t>
          </a:r>
          <a:endParaRPr lang="en-US" sz="1600" b="1">
            <a:ln>
              <a:solidFill>
                <a:schemeClr val="bg2">
                  <a:lumMod val="75000"/>
                </a:schemeClr>
              </a:solidFill>
            </a:ln>
            <a:solidFill>
              <a:schemeClr val="bg2">
                <a:lumMod val="75000"/>
              </a:schemeClr>
            </a:solidFill>
          </a:endParaRPr>
        </a:p>
      </xdr:txBody>
    </xdr:sp>
    <xdr:clientData/>
  </xdr:twoCellAnchor>
  <xdr:twoCellAnchor>
    <xdr:from>
      <xdr:col>26</xdr:col>
      <xdr:colOff>160020</xdr:colOff>
      <xdr:row>0</xdr:row>
      <xdr:rowOff>0</xdr:rowOff>
    </xdr:from>
    <xdr:to>
      <xdr:col>28</xdr:col>
      <xdr:colOff>411480</xdr:colOff>
      <xdr:row>0</xdr:row>
      <xdr:rowOff>0</xdr:rowOff>
    </xdr:to>
    <xdr:sp macro="" textlink="">
      <xdr:nvSpPr>
        <xdr:cNvPr id="141" name="TextBox 140">
          <a:extLst>
            <a:ext uri="{FF2B5EF4-FFF2-40B4-BE49-F238E27FC236}">
              <a16:creationId xmlns:a16="http://schemas.microsoft.com/office/drawing/2014/main" id="{BEC23F4D-D6F1-BB43-54FE-54DF31A45DD4}"/>
            </a:ext>
          </a:extLst>
        </xdr:cNvPr>
        <xdr:cNvSpPr txBox="1"/>
      </xdr:nvSpPr>
      <xdr:spPr>
        <a:xfrm>
          <a:off x="16009620" y="0"/>
          <a:ext cx="147066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ln>
                <a:solidFill>
                  <a:schemeClr val="bg1"/>
                </a:solidFill>
              </a:ln>
              <a:solidFill>
                <a:srgbClr val="E5B244"/>
              </a:solidFill>
            </a:rPr>
            <a:t> </a:t>
          </a:r>
          <a:r>
            <a:rPr lang="en-US" sz="1400" b="0">
              <a:ln>
                <a:solidFill>
                  <a:srgbClr val="E5B244"/>
                </a:solidFill>
              </a:ln>
              <a:solidFill>
                <a:srgbClr val="E5B244"/>
              </a:solidFill>
            </a:rPr>
            <a:t>Leave</a:t>
          </a:r>
          <a:r>
            <a:rPr lang="en-US" sz="1400" b="0" baseline="0">
              <a:ln>
                <a:solidFill>
                  <a:srgbClr val="E5B244"/>
                </a:solidFill>
              </a:ln>
              <a:solidFill>
                <a:srgbClr val="E5B244"/>
              </a:solidFill>
            </a:rPr>
            <a:t> Tracking</a:t>
          </a:r>
          <a:endParaRPr lang="en-US" sz="1600" b="0">
            <a:ln>
              <a:solidFill>
                <a:srgbClr val="E5B244"/>
              </a:solidFill>
            </a:ln>
            <a:solidFill>
              <a:srgbClr val="E5B244"/>
            </a:solidFill>
          </a:endParaRPr>
        </a:p>
      </xdr:txBody>
    </xdr:sp>
    <xdr:clientData/>
  </xdr:twoCellAnchor>
  <xdr:twoCellAnchor>
    <xdr:from>
      <xdr:col>17</xdr:col>
      <xdr:colOff>30480</xdr:colOff>
      <xdr:row>11</xdr:row>
      <xdr:rowOff>33528</xdr:rowOff>
    </xdr:from>
    <xdr:to>
      <xdr:col>19</xdr:col>
      <xdr:colOff>281940</xdr:colOff>
      <xdr:row>12</xdr:row>
      <xdr:rowOff>114300</xdr:rowOff>
    </xdr:to>
    <xdr:sp macro="" textlink="">
      <xdr:nvSpPr>
        <xdr:cNvPr id="142" name="TextBox 141">
          <a:extLst>
            <a:ext uri="{FF2B5EF4-FFF2-40B4-BE49-F238E27FC236}">
              <a16:creationId xmlns:a16="http://schemas.microsoft.com/office/drawing/2014/main" id="{7B1B3CCB-02BA-B21E-8AB8-EDD18F7FDF7E}"/>
            </a:ext>
          </a:extLst>
        </xdr:cNvPr>
        <xdr:cNvSpPr txBox="1"/>
      </xdr:nvSpPr>
      <xdr:spPr>
        <a:xfrm>
          <a:off x="10393680" y="2045208"/>
          <a:ext cx="1470660" cy="263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n>
                <a:solidFill>
                  <a:schemeClr val="bg2">
                    <a:lumMod val="75000"/>
                  </a:schemeClr>
                </a:solidFill>
              </a:ln>
              <a:solidFill>
                <a:schemeClr val="bg2">
                  <a:lumMod val="75000"/>
                </a:schemeClr>
              </a:solidFill>
            </a:rPr>
            <a:t>Filter</a:t>
          </a:r>
          <a:r>
            <a:rPr lang="en-US" sz="1200" b="0" baseline="0">
              <a:ln>
                <a:solidFill>
                  <a:schemeClr val="bg2">
                    <a:lumMod val="75000"/>
                  </a:schemeClr>
                </a:solidFill>
              </a:ln>
              <a:solidFill>
                <a:schemeClr val="bg2">
                  <a:lumMod val="75000"/>
                </a:schemeClr>
              </a:solidFill>
            </a:rPr>
            <a:t> by department </a:t>
          </a:r>
          <a:endParaRPr lang="en-US" sz="1600" b="0">
            <a:ln>
              <a:solidFill>
                <a:schemeClr val="bg2">
                  <a:lumMod val="75000"/>
                </a:schemeClr>
              </a:solidFill>
            </a:ln>
            <a:solidFill>
              <a:schemeClr val="bg2">
                <a:lumMod val="75000"/>
              </a:schemeClr>
            </a:solidFill>
          </a:endParaRPr>
        </a:p>
      </xdr:txBody>
    </xdr:sp>
    <xdr:clientData/>
  </xdr:twoCellAnchor>
  <xdr:twoCellAnchor>
    <xdr:from>
      <xdr:col>17</xdr:col>
      <xdr:colOff>45720</xdr:colOff>
      <xdr:row>17</xdr:row>
      <xdr:rowOff>60960</xdr:rowOff>
    </xdr:from>
    <xdr:to>
      <xdr:col>20</xdr:col>
      <xdr:colOff>167640</xdr:colOff>
      <xdr:row>32</xdr:row>
      <xdr:rowOff>167640</xdr:rowOff>
    </xdr:to>
    <xdr:sp macro="" textlink="">
      <xdr:nvSpPr>
        <xdr:cNvPr id="125" name="Rectangle: Rounded Corners 124">
          <a:extLst>
            <a:ext uri="{FF2B5EF4-FFF2-40B4-BE49-F238E27FC236}">
              <a16:creationId xmlns:a16="http://schemas.microsoft.com/office/drawing/2014/main" id="{34A01274-F04C-7CF1-FBE7-3E94DFE5B605}"/>
            </a:ext>
          </a:extLst>
        </xdr:cNvPr>
        <xdr:cNvSpPr/>
      </xdr:nvSpPr>
      <xdr:spPr>
        <a:xfrm>
          <a:off x="10408920" y="3169920"/>
          <a:ext cx="1950720" cy="2849880"/>
        </a:xfrm>
        <a:prstGeom prst="roundRect">
          <a:avLst>
            <a:gd name="adj" fmla="val 11072"/>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rgbClr val="FF0000"/>
              </a:solidFill>
            </a:rPr>
            <a:t>Made</a:t>
          </a:r>
          <a:r>
            <a:rPr lang="en-US" sz="1800" baseline="0">
              <a:solidFill>
                <a:srgbClr val="FF0000"/>
              </a:solidFill>
            </a:rPr>
            <a:t> by santosh Kannaujiya </a:t>
          </a:r>
        </a:p>
        <a:p>
          <a:pPr algn="l"/>
          <a:endParaRPr lang="en-US" sz="1800" baseline="0">
            <a:solidFill>
              <a:srgbClr val="FF0000"/>
            </a:solidFill>
          </a:endParaRPr>
        </a:p>
        <a:p>
          <a:pPr algn="l"/>
          <a:r>
            <a:rPr lang="en-US" sz="1600" baseline="0">
              <a:solidFill>
                <a:srgbClr val="FF0000"/>
              </a:solidFill>
            </a:rPr>
            <a:t>Mo.No  - 6387820041</a:t>
          </a:r>
        </a:p>
        <a:p>
          <a:pPr algn="l"/>
          <a:endParaRPr lang="en-US" sz="1800" baseline="0">
            <a:solidFill>
              <a:srgbClr val="FF0000"/>
            </a:solidFill>
          </a:endParaRPr>
        </a:p>
        <a:p>
          <a:pPr algn="l"/>
          <a:r>
            <a:rPr lang="en-US" sz="1400" baseline="0">
              <a:solidFill>
                <a:srgbClr val="FF0000"/>
              </a:solidFill>
            </a:rPr>
            <a:t>Want more attractive dashboard contact me</a:t>
          </a:r>
          <a:endParaRPr lang="en-US" sz="1800" baseline="0">
            <a:solidFill>
              <a:srgbClr val="FF0000"/>
            </a:solidFill>
          </a:endParaRPr>
        </a:p>
        <a:p>
          <a:pPr algn="l"/>
          <a:endParaRPr lang="en-US" sz="1100" baseline="0">
            <a:solidFill>
              <a:srgbClr val="FF0000"/>
            </a:solidFill>
          </a:endParaRPr>
        </a:p>
        <a:p>
          <a:pPr algn="l"/>
          <a:endParaRPr lang="en-US" sz="1100">
            <a:solidFill>
              <a:srgbClr val="FF0000"/>
            </a:solidFill>
          </a:endParaRPr>
        </a:p>
      </xdr:txBody>
    </xdr:sp>
    <xdr:clientData/>
  </xdr:twoCellAnchor>
  <xdr:twoCellAnchor>
    <xdr:from>
      <xdr:col>14</xdr:col>
      <xdr:colOff>487680</xdr:colOff>
      <xdr:row>26</xdr:row>
      <xdr:rowOff>76200</xdr:rowOff>
    </xdr:from>
    <xdr:to>
      <xdr:col>16</xdr:col>
      <xdr:colOff>563880</xdr:colOff>
      <xdr:row>32</xdr:row>
      <xdr:rowOff>129540</xdr:rowOff>
    </xdr:to>
    <xdr:grpSp>
      <xdr:nvGrpSpPr>
        <xdr:cNvPr id="144" name="Group 143">
          <a:extLst>
            <a:ext uri="{FF2B5EF4-FFF2-40B4-BE49-F238E27FC236}">
              <a16:creationId xmlns:a16="http://schemas.microsoft.com/office/drawing/2014/main" id="{7380E920-E16F-4649-B2CB-E531C0AA8BAB}"/>
            </a:ext>
          </a:extLst>
        </xdr:cNvPr>
        <xdr:cNvGrpSpPr/>
      </xdr:nvGrpSpPr>
      <xdr:grpSpPr>
        <a:xfrm>
          <a:off x="9022080" y="4831080"/>
          <a:ext cx="1295400" cy="1150620"/>
          <a:chOff x="9022080" y="4831080"/>
          <a:chExt cx="1295400" cy="1150620"/>
        </a:xfrm>
      </xdr:grpSpPr>
      <xdr:sp macro="" textlink="">
        <xdr:nvSpPr>
          <xdr:cNvPr id="128" name="TextBox 127">
            <a:extLst>
              <a:ext uri="{FF2B5EF4-FFF2-40B4-BE49-F238E27FC236}">
                <a16:creationId xmlns:a16="http://schemas.microsoft.com/office/drawing/2014/main" id="{016C7757-EA14-E586-A7D3-618395902667}"/>
              </a:ext>
            </a:extLst>
          </xdr:cNvPr>
          <xdr:cNvSpPr txBox="1"/>
        </xdr:nvSpPr>
        <xdr:spPr>
          <a:xfrm>
            <a:off x="9022080" y="4831080"/>
            <a:ext cx="96774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chemeClr val="bg1"/>
                  </a:solidFill>
                </a:ln>
                <a:solidFill>
                  <a:schemeClr val="bg1"/>
                </a:solidFill>
              </a:rPr>
              <a:t>Full</a:t>
            </a:r>
          </a:p>
          <a:p>
            <a:r>
              <a:rPr lang="en-US" sz="1200" b="1">
                <a:ln>
                  <a:solidFill>
                    <a:schemeClr val="bg1"/>
                  </a:solidFill>
                </a:ln>
                <a:solidFill>
                  <a:schemeClr val="bg1"/>
                </a:solidFill>
              </a:rPr>
              <a:t> Time Employee's </a:t>
            </a:r>
          </a:p>
        </xdr:txBody>
      </xdr:sp>
      <xdr:sp macro="" textlink="'Pivot Table '!C11">
        <xdr:nvSpPr>
          <xdr:cNvPr id="134" name="TextBox 133">
            <a:extLst>
              <a:ext uri="{FF2B5EF4-FFF2-40B4-BE49-F238E27FC236}">
                <a16:creationId xmlns:a16="http://schemas.microsoft.com/office/drawing/2014/main" id="{4F9FE63D-6743-1EF6-1481-ABB830B7ABA7}"/>
              </a:ext>
            </a:extLst>
          </xdr:cNvPr>
          <xdr:cNvSpPr txBox="1"/>
        </xdr:nvSpPr>
        <xdr:spPr>
          <a:xfrm>
            <a:off x="9662160" y="5394960"/>
            <a:ext cx="65532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FAC892-514B-4515-BDC1-9A7493B2F1A8}" type="TxLink">
              <a:rPr lang="en-US" sz="3600" b="1" i="0" u="none" strike="noStrike">
                <a:ln>
                  <a:solidFill>
                    <a:schemeClr val="bg1"/>
                  </a:solidFill>
                </a:ln>
                <a:solidFill>
                  <a:schemeClr val="bg1"/>
                </a:solidFill>
                <a:latin typeface="Aptos Narrow"/>
              </a:rPr>
              <a:pPr/>
              <a:t>8</a:t>
            </a:fld>
            <a:endParaRPr lang="en-US" sz="3600" b="1">
              <a:ln>
                <a:solidFill>
                  <a:schemeClr val="bg1"/>
                </a:solidFill>
              </a:ln>
              <a:solidFill>
                <a:schemeClr val="bg1"/>
              </a:solidFill>
            </a:endParaRPr>
          </a:p>
        </xdr:txBody>
      </xdr:sp>
      <xdr:sp macro="" textlink="">
        <xdr:nvSpPr>
          <xdr:cNvPr id="143" name="Oval 142">
            <a:extLst>
              <a:ext uri="{FF2B5EF4-FFF2-40B4-BE49-F238E27FC236}">
                <a16:creationId xmlns:a16="http://schemas.microsoft.com/office/drawing/2014/main" id="{30691B02-BCB7-D208-5E01-982560BF5859}"/>
              </a:ext>
            </a:extLst>
          </xdr:cNvPr>
          <xdr:cNvSpPr/>
        </xdr:nvSpPr>
        <xdr:spPr>
          <a:xfrm>
            <a:off x="10081260" y="4853940"/>
            <a:ext cx="220980" cy="228600"/>
          </a:xfrm>
          <a:prstGeom prst="ellipse">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3.399753240737" createdVersion="8" refreshedVersion="8" minRefreshableVersion="3" recordCount="50" xr:uid="{5A26AA29-CE50-4920-A1FE-9AFF6460959F}">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ount="49">
        <n v="53700"/>
        <n v="91091"/>
        <n v="57538"/>
        <n v="62993"/>
        <n v="45773"/>
        <n v="96249"/>
        <n v="61596"/>
        <n v="97869"/>
        <n v="81235"/>
        <n v="87852"/>
        <n v="59359"/>
        <n v="81225"/>
        <n v="32788"/>
        <n v="70452"/>
        <n v="33045"/>
        <n v="96429"/>
        <n v="33183"/>
        <n v="75065"/>
        <n v="32877"/>
        <n v="46811"/>
        <n v="87538"/>
        <n v="73002"/>
        <n v="41653"/>
        <n v="67582"/>
        <n v="37351"/>
        <n v="36721"/>
        <n v="46326"/>
        <n v="59007"/>
        <n v="52020"/>
        <n v="98961"/>
        <n v="81943"/>
        <n v="47627"/>
        <n v="56162"/>
        <n v="95734"/>
        <n v="74789"/>
        <n v="30137"/>
        <n v="95510"/>
        <n v="80325"/>
        <n v="34109"/>
        <n v="73330"/>
        <n v="46567"/>
        <n v="39795"/>
        <n v="59506"/>
        <n v="49058"/>
        <n v="98612"/>
        <n v="38201"/>
        <n v="92919"/>
        <n v="45188"/>
        <n v="34927"/>
      </sharedItems>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462827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x v="0"/>
    <s v="C"/>
    <n v="1463"/>
    <s v="Health"/>
    <n v="1"/>
    <n v="1"/>
    <s v="Leadership Training"/>
    <x v="0"/>
    <s v="Certified Professional"/>
  </r>
  <r>
    <n v="9116"/>
    <x v="1"/>
    <x v="1"/>
    <n v="27"/>
    <x v="1"/>
    <x v="1"/>
    <x v="1"/>
    <x v="1"/>
    <s v="Ashley Simmons MD"/>
    <s v="2022-12-20"/>
    <x v="0"/>
    <x v="1"/>
    <x v="1"/>
    <s v="B"/>
    <n v="1024"/>
    <s v="None"/>
    <n v="19"/>
    <n v="4"/>
    <s v="Excel Workshop"/>
    <x v="0"/>
    <s v="Certified Professional"/>
  </r>
  <r>
    <n v="5120"/>
    <x v="2"/>
    <x v="1"/>
    <n v="34"/>
    <x v="1"/>
    <x v="2"/>
    <x v="2"/>
    <x v="2"/>
    <s v="Cassandra Duncan"/>
    <s v="2022-08-10"/>
    <x v="0"/>
    <x v="2"/>
    <x v="2"/>
    <s v="D"/>
    <n v="1674"/>
    <s v="None"/>
    <n v="8"/>
    <n v="1"/>
    <s v="None"/>
    <x v="1"/>
    <s v="Advanced Training"/>
  </r>
  <r>
    <n v="8071"/>
    <x v="3"/>
    <x v="0"/>
    <n v="41"/>
    <x v="2"/>
    <x v="2"/>
    <x v="0"/>
    <x v="3"/>
    <s v="Janet Harris"/>
    <s v="2024-09-03"/>
    <x v="1"/>
    <x v="0"/>
    <x v="3"/>
    <s v="A"/>
    <n v="2695"/>
    <s v="Health + Dental"/>
    <n v="0"/>
    <n v="2"/>
    <s v="None"/>
    <x v="2"/>
    <s v="None"/>
  </r>
  <r>
    <n v="9351"/>
    <x v="4"/>
    <x v="1"/>
    <n v="56"/>
    <x v="3"/>
    <x v="0"/>
    <x v="0"/>
    <x v="2"/>
    <s v="Mr. Frank Clay"/>
    <s v="2019-03-14"/>
    <x v="1"/>
    <x v="1"/>
    <x v="4"/>
    <s v="A"/>
    <n v="8776"/>
    <s v="Health"/>
    <n v="16"/>
    <n v="4"/>
    <s v="Leadership Training"/>
    <x v="2"/>
    <s v="None"/>
  </r>
  <r>
    <n v="2873"/>
    <x v="5"/>
    <x v="0"/>
    <n v="28"/>
    <x v="1"/>
    <x v="2"/>
    <x v="3"/>
    <x v="2"/>
    <s v="Dorothy Price"/>
    <s v="2017-01-23"/>
    <x v="0"/>
    <x v="1"/>
    <x v="5"/>
    <s v="C"/>
    <n v="4826"/>
    <s v="Health + Dental"/>
    <n v="7"/>
    <n v="3"/>
    <s v="Leadership Training"/>
    <x v="3"/>
    <s v="Certified Professional"/>
  </r>
  <r>
    <n v="3540"/>
    <x v="6"/>
    <x v="0"/>
    <n v="20"/>
    <x v="0"/>
    <x v="1"/>
    <x v="2"/>
    <x v="2"/>
    <s v="Michele Sexton"/>
    <s v="2024-08-17"/>
    <x v="0"/>
    <x v="2"/>
    <x v="6"/>
    <s v="C"/>
    <n v="8818"/>
    <s v="Health + Dental"/>
    <n v="4"/>
    <n v="2"/>
    <s v="Leadership Training"/>
    <x v="1"/>
    <s v="None"/>
  </r>
  <r>
    <n v="3653"/>
    <x v="7"/>
    <x v="0"/>
    <n v="58"/>
    <x v="3"/>
    <x v="3"/>
    <x v="1"/>
    <x v="4"/>
    <s v="Richard Schmidt"/>
    <s v="2014-12-09"/>
    <x v="0"/>
    <x v="2"/>
    <x v="7"/>
    <s v="A"/>
    <n v="1966"/>
    <s v="Health"/>
    <n v="10"/>
    <n v="1"/>
    <s v="Leadership Training"/>
    <x v="0"/>
    <s v="Certified Professional"/>
  </r>
  <r>
    <n v="5587"/>
    <x v="8"/>
    <x v="0"/>
    <n v="44"/>
    <x v="2"/>
    <x v="3"/>
    <x v="2"/>
    <x v="2"/>
    <s v="Teresa Pearson"/>
    <s v="2021-06-28"/>
    <x v="0"/>
    <x v="0"/>
    <x v="8"/>
    <s v="A"/>
    <n v="6553"/>
    <s v="None"/>
    <n v="16"/>
    <n v="2"/>
    <s v="None"/>
    <x v="1"/>
    <s v="Certified Professional"/>
  </r>
  <r>
    <n v="9554"/>
    <x v="9"/>
    <x v="0"/>
    <n v="29"/>
    <x v="1"/>
    <x v="1"/>
    <x v="2"/>
    <x v="3"/>
    <s v="Laura Hart"/>
    <s v="2018-05-20"/>
    <x v="0"/>
    <x v="1"/>
    <x v="9"/>
    <s v="A"/>
    <n v="4980"/>
    <s v="Health + Dental"/>
    <n v="19"/>
    <n v="3"/>
    <s v="None"/>
    <x v="2"/>
    <s v="Certified Professional"/>
  </r>
  <r>
    <n v="6213"/>
    <x v="10"/>
    <x v="1"/>
    <n v="23"/>
    <x v="0"/>
    <x v="3"/>
    <x v="0"/>
    <x v="2"/>
    <s v="Andrea May"/>
    <s v="2017-02-13"/>
    <x v="1"/>
    <x v="1"/>
    <x v="10"/>
    <s v="A"/>
    <n v="9449"/>
    <s v="Health + Dental"/>
    <n v="20"/>
    <n v="3"/>
    <s v="None"/>
    <x v="1"/>
    <s v="None"/>
  </r>
  <r>
    <n v="9105"/>
    <x v="11"/>
    <x v="1"/>
    <n v="30"/>
    <x v="1"/>
    <x v="0"/>
    <x v="1"/>
    <x v="0"/>
    <s v="Casey Martin"/>
    <s v="2024-05-05"/>
    <x v="1"/>
    <x v="2"/>
    <x v="11"/>
    <s v="D"/>
    <n v="6202"/>
    <s v="Health + Dental"/>
    <n v="2"/>
    <n v="2"/>
    <s v="Excel Workshop"/>
    <x v="4"/>
    <s v="Certified Professional"/>
  </r>
  <r>
    <n v="9508"/>
    <x v="12"/>
    <x v="0"/>
    <n v="49"/>
    <x v="4"/>
    <x v="1"/>
    <x v="0"/>
    <x v="0"/>
    <s v="Amber Allen"/>
    <s v="2022-04-19"/>
    <x v="1"/>
    <x v="0"/>
    <x v="12"/>
    <s v="D"/>
    <n v="4396"/>
    <s v="Health"/>
    <n v="13"/>
    <n v="5"/>
    <s v="None"/>
    <x v="3"/>
    <s v="Advanced Training"/>
  </r>
  <r>
    <n v="2436"/>
    <x v="13"/>
    <x v="1"/>
    <n v="60"/>
    <x v="3"/>
    <x v="4"/>
    <x v="0"/>
    <x v="3"/>
    <s v="Adam Johnson"/>
    <s v="2015-11-16"/>
    <x v="1"/>
    <x v="2"/>
    <x v="13"/>
    <s v="D"/>
    <n v="9911"/>
    <s v="None"/>
    <n v="2"/>
    <n v="1"/>
    <s v="None"/>
    <x v="3"/>
    <s v="Certified Professional"/>
  </r>
  <r>
    <n v="4441"/>
    <x v="14"/>
    <x v="1"/>
    <n v="46"/>
    <x v="4"/>
    <x v="1"/>
    <x v="3"/>
    <x v="0"/>
    <s v="Nicole Dominguez"/>
    <s v="2023-09-09"/>
    <x v="0"/>
    <x v="1"/>
    <x v="14"/>
    <s v="B"/>
    <n v="1456"/>
    <s v="None"/>
    <n v="16"/>
    <n v="3"/>
    <s v="Excel Workshop"/>
    <x v="3"/>
    <s v="None"/>
  </r>
  <r>
    <n v="5827"/>
    <x v="15"/>
    <x v="1"/>
    <n v="57"/>
    <x v="3"/>
    <x v="2"/>
    <x v="3"/>
    <x v="1"/>
    <s v="Andrew Best"/>
    <s v="2017-12-12"/>
    <x v="2"/>
    <x v="2"/>
    <x v="15"/>
    <s v="C"/>
    <n v="4740"/>
    <s v="None"/>
    <n v="8"/>
    <n v="1"/>
    <s v="Excel Workshop"/>
    <x v="2"/>
    <s v="None"/>
  </r>
  <r>
    <n v="5184"/>
    <x v="16"/>
    <x v="0"/>
    <n v="24"/>
    <x v="0"/>
    <x v="1"/>
    <x v="2"/>
    <x v="2"/>
    <s v="Gabrielle Rodriguez"/>
    <s v="2017-03-10"/>
    <x v="2"/>
    <x v="2"/>
    <x v="16"/>
    <s v="A"/>
    <n v="8114"/>
    <s v="None"/>
    <n v="4"/>
    <n v="2"/>
    <s v="Excel Workshop"/>
    <x v="4"/>
    <s v="Advanced Training"/>
  </r>
  <r>
    <n v="5874"/>
    <x v="3"/>
    <x v="0"/>
    <n v="35"/>
    <x v="1"/>
    <x v="4"/>
    <x v="3"/>
    <x v="0"/>
    <s v="Allison Harvey"/>
    <s v="2019-03-04"/>
    <x v="2"/>
    <x v="0"/>
    <x v="17"/>
    <s v="C"/>
    <n v="7123"/>
    <s v="None"/>
    <n v="20"/>
    <n v="2"/>
    <s v="None"/>
    <x v="0"/>
    <s v="Advanced Training"/>
  </r>
  <r>
    <n v="9834"/>
    <x v="17"/>
    <x v="1"/>
    <n v="41"/>
    <x v="2"/>
    <x v="1"/>
    <x v="1"/>
    <x v="4"/>
    <s v="Tristan Mejia"/>
    <s v="2022-11-20"/>
    <x v="0"/>
    <x v="2"/>
    <x v="18"/>
    <s v="C"/>
    <n v="6432"/>
    <s v="Health"/>
    <n v="11"/>
    <n v="1"/>
    <s v="None"/>
    <x v="0"/>
    <s v="None"/>
  </r>
  <r>
    <n v="5096"/>
    <x v="18"/>
    <x v="1"/>
    <n v="36"/>
    <x v="2"/>
    <x v="1"/>
    <x v="4"/>
    <x v="3"/>
    <s v="Mary Welch"/>
    <s v="2021-03-02"/>
    <x v="0"/>
    <x v="1"/>
    <x v="19"/>
    <s v="D"/>
    <n v="1567"/>
    <s v="None"/>
    <n v="7"/>
    <n v="3"/>
    <s v="Excel Workshop"/>
    <x v="0"/>
    <s v="Advanced Training"/>
  </r>
  <r>
    <n v="2263"/>
    <x v="19"/>
    <x v="1"/>
    <n v="31"/>
    <x v="1"/>
    <x v="3"/>
    <x v="2"/>
    <x v="1"/>
    <s v="Douglas Miles"/>
    <s v="2021-08-01"/>
    <x v="1"/>
    <x v="1"/>
    <x v="20"/>
    <s v="C"/>
    <n v="3588"/>
    <s v="Health + Dental"/>
    <n v="11"/>
    <n v="5"/>
    <s v="Excel Workshop"/>
    <x v="2"/>
    <s v="None"/>
  </r>
  <r>
    <n v="6505"/>
    <x v="20"/>
    <x v="0"/>
    <n v="28"/>
    <x v="1"/>
    <x v="0"/>
    <x v="1"/>
    <x v="4"/>
    <s v="Jessica Fleming"/>
    <s v="2015-08-14"/>
    <x v="0"/>
    <x v="1"/>
    <x v="21"/>
    <s v="C"/>
    <n v="6296"/>
    <s v="Health"/>
    <n v="2"/>
    <n v="5"/>
    <s v="Excel Workshop"/>
    <x v="1"/>
    <s v="Certified Professional"/>
  </r>
  <r>
    <n v="8626"/>
    <x v="21"/>
    <x v="1"/>
    <n v="37"/>
    <x v="2"/>
    <x v="3"/>
    <x v="1"/>
    <x v="3"/>
    <s v="Christine Lee"/>
    <s v="2015-10-21"/>
    <x v="2"/>
    <x v="2"/>
    <x v="22"/>
    <s v="D"/>
    <n v="9236"/>
    <s v="None"/>
    <n v="13"/>
    <n v="1"/>
    <s v="Excel Workshop"/>
    <x v="0"/>
    <s v="None"/>
  </r>
  <r>
    <n v="5979"/>
    <x v="22"/>
    <x v="0"/>
    <n v="31"/>
    <x v="1"/>
    <x v="0"/>
    <x v="0"/>
    <x v="2"/>
    <s v="Mario Smith DVM"/>
    <s v="2015-03-14"/>
    <x v="1"/>
    <x v="1"/>
    <x v="23"/>
    <s v="A"/>
    <n v="1375"/>
    <s v="Health"/>
    <n v="20"/>
    <n v="3"/>
    <s v="Excel Workshop"/>
    <x v="1"/>
    <s v="None"/>
  </r>
  <r>
    <n v="3104"/>
    <x v="23"/>
    <x v="0"/>
    <n v="23"/>
    <x v="0"/>
    <x v="3"/>
    <x v="1"/>
    <x v="1"/>
    <s v="Joseph Francis"/>
    <s v="2024-05-22"/>
    <x v="2"/>
    <x v="1"/>
    <x v="24"/>
    <s v="D"/>
    <n v="7858"/>
    <s v="Health + Dental"/>
    <n v="18"/>
    <n v="2"/>
    <s v="Leadership Training"/>
    <x v="1"/>
    <s v="Advanced Training"/>
  </r>
  <r>
    <n v="8967"/>
    <x v="24"/>
    <x v="0"/>
    <n v="48"/>
    <x v="4"/>
    <x v="4"/>
    <x v="2"/>
    <x v="0"/>
    <s v="Sarah Young"/>
    <s v="2017-03-19"/>
    <x v="0"/>
    <x v="1"/>
    <x v="25"/>
    <s v="B"/>
    <n v="8820"/>
    <s v="Health + Dental"/>
    <n v="0"/>
    <n v="2"/>
    <s v="Excel Workshop"/>
    <x v="1"/>
    <s v="Certified Professional"/>
  </r>
  <r>
    <n v="5087"/>
    <x v="25"/>
    <x v="1"/>
    <n v="28"/>
    <x v="1"/>
    <x v="2"/>
    <x v="4"/>
    <x v="0"/>
    <s v="Aaron Hart"/>
    <s v="2021-09-15"/>
    <x v="1"/>
    <x v="2"/>
    <x v="26"/>
    <s v="B"/>
    <n v="9189"/>
    <s v="Health + Dental"/>
    <n v="8"/>
    <n v="4"/>
    <s v="Leadership Training"/>
    <x v="3"/>
    <s v="Advanced Training"/>
  </r>
  <r>
    <n v="3358"/>
    <x v="26"/>
    <x v="1"/>
    <n v="30"/>
    <x v="1"/>
    <x v="1"/>
    <x v="3"/>
    <x v="1"/>
    <s v="Brian Boyd"/>
    <s v="2022-05-09"/>
    <x v="0"/>
    <x v="0"/>
    <x v="27"/>
    <s v="C"/>
    <n v="3380"/>
    <s v="Health"/>
    <n v="17"/>
    <n v="3"/>
    <s v="None"/>
    <x v="4"/>
    <s v="Certified Professional"/>
  </r>
  <r>
    <n v="8256"/>
    <x v="27"/>
    <x v="1"/>
    <n v="46"/>
    <x v="4"/>
    <x v="3"/>
    <x v="0"/>
    <x v="3"/>
    <s v="Steven Krueger"/>
    <s v="2017-06-22"/>
    <x v="0"/>
    <x v="1"/>
    <x v="28"/>
    <s v="B"/>
    <n v="9585"/>
    <s v="Health + Dental"/>
    <n v="0"/>
    <n v="4"/>
    <s v="Excel Workshop"/>
    <x v="4"/>
    <s v="None"/>
  </r>
  <r>
    <n v="5763"/>
    <x v="28"/>
    <x v="1"/>
    <n v="44"/>
    <x v="2"/>
    <x v="1"/>
    <x v="2"/>
    <x v="1"/>
    <s v="Debra Williams"/>
    <s v="2020-11-28"/>
    <x v="2"/>
    <x v="1"/>
    <x v="29"/>
    <s v="D"/>
    <n v="2688"/>
    <s v="Health"/>
    <n v="2"/>
    <n v="5"/>
    <s v="Excel Workshop"/>
    <x v="4"/>
    <s v="Certified Professional"/>
  </r>
  <r>
    <n v="6838"/>
    <x v="29"/>
    <x v="1"/>
    <n v="45"/>
    <x v="2"/>
    <x v="2"/>
    <x v="3"/>
    <x v="2"/>
    <s v="Karen Mitchell"/>
    <s v="2015-08-30"/>
    <x v="2"/>
    <x v="1"/>
    <x v="30"/>
    <s v="C"/>
    <n v="2255"/>
    <s v="Health"/>
    <n v="18"/>
    <n v="2"/>
    <s v="None"/>
    <x v="2"/>
    <s v="Certified Professional"/>
  </r>
  <r>
    <n v="9544"/>
    <x v="30"/>
    <x v="1"/>
    <n v="52"/>
    <x v="4"/>
    <x v="4"/>
    <x v="2"/>
    <x v="1"/>
    <s v="Joseph Sanders"/>
    <s v="2018-10-27"/>
    <x v="2"/>
    <x v="1"/>
    <x v="31"/>
    <s v="C"/>
    <n v="1221"/>
    <s v="None"/>
    <n v="4"/>
    <n v="3"/>
    <s v="None"/>
    <x v="1"/>
    <s v="None"/>
  </r>
  <r>
    <n v="8012"/>
    <x v="31"/>
    <x v="0"/>
    <n v="52"/>
    <x v="4"/>
    <x v="0"/>
    <x v="0"/>
    <x v="4"/>
    <s v="Shelly George"/>
    <s v="2018-08-26"/>
    <x v="2"/>
    <x v="1"/>
    <x v="32"/>
    <s v="D"/>
    <n v="6560"/>
    <s v="Health + Dental"/>
    <n v="9"/>
    <n v="4"/>
    <s v="Excel Workshop"/>
    <x v="3"/>
    <s v="None"/>
  </r>
  <r>
    <n v="9374"/>
    <x v="32"/>
    <x v="0"/>
    <n v="42"/>
    <x v="2"/>
    <x v="1"/>
    <x v="2"/>
    <x v="2"/>
    <s v="Nicole Houston"/>
    <s v="2023-07-24"/>
    <x v="1"/>
    <x v="2"/>
    <x v="33"/>
    <s v="C"/>
    <n v="4854"/>
    <s v="Health"/>
    <n v="13"/>
    <n v="2"/>
    <s v="Leadership Training"/>
    <x v="0"/>
    <s v="Certified Professional"/>
  </r>
  <r>
    <n v="3487"/>
    <x v="33"/>
    <x v="1"/>
    <n v="58"/>
    <x v="3"/>
    <x v="1"/>
    <x v="1"/>
    <x v="3"/>
    <s v="Kristin Shaffer"/>
    <s v="2018-07-09"/>
    <x v="1"/>
    <x v="2"/>
    <x v="34"/>
    <s v="C"/>
    <n v="8101"/>
    <s v="Health + Dental"/>
    <n v="14"/>
    <n v="5"/>
    <s v="Excel Workshop"/>
    <x v="2"/>
    <s v="None"/>
  </r>
  <r>
    <n v="8445"/>
    <x v="34"/>
    <x v="0"/>
    <n v="24"/>
    <x v="0"/>
    <x v="4"/>
    <x v="0"/>
    <x v="3"/>
    <s v="Joel Aguilar"/>
    <s v="2016-12-21"/>
    <x v="0"/>
    <x v="2"/>
    <x v="35"/>
    <s v="B"/>
    <n v="4031"/>
    <s v="None"/>
    <n v="5"/>
    <n v="3"/>
    <s v="None"/>
    <x v="1"/>
    <s v="Certified Professional"/>
  </r>
  <r>
    <n v="1550"/>
    <x v="35"/>
    <x v="1"/>
    <n v="21"/>
    <x v="0"/>
    <x v="1"/>
    <x v="0"/>
    <x v="0"/>
    <s v="Michael Wade"/>
    <s v="2019-06-27"/>
    <x v="0"/>
    <x v="2"/>
    <x v="36"/>
    <s v="C"/>
    <n v="6811"/>
    <s v="Health"/>
    <n v="18"/>
    <n v="4"/>
    <s v="Excel Workshop"/>
    <x v="4"/>
    <s v="Certified Professional"/>
  </r>
  <r>
    <n v="9968"/>
    <x v="36"/>
    <x v="1"/>
    <n v="58"/>
    <x v="3"/>
    <x v="1"/>
    <x v="3"/>
    <x v="0"/>
    <s v="Jessica Walsh"/>
    <s v="2021-08-27"/>
    <x v="1"/>
    <x v="0"/>
    <x v="37"/>
    <s v="B"/>
    <n v="6230"/>
    <s v="Health"/>
    <n v="5"/>
    <n v="4"/>
    <s v="None"/>
    <x v="2"/>
    <s v="Advanced Training"/>
  </r>
  <r>
    <n v="8029"/>
    <x v="37"/>
    <x v="0"/>
    <n v="57"/>
    <x v="3"/>
    <x v="3"/>
    <x v="4"/>
    <x v="4"/>
    <s v="Kelly Mack"/>
    <s v="2017-05-28"/>
    <x v="2"/>
    <x v="1"/>
    <x v="38"/>
    <s v="B"/>
    <n v="9232"/>
    <s v="Health"/>
    <n v="13"/>
    <n v="3"/>
    <s v="Leadership Training"/>
    <x v="0"/>
    <s v="Certified Professional"/>
  </r>
  <r>
    <n v="8847"/>
    <x v="38"/>
    <x v="1"/>
    <n v="41"/>
    <x v="2"/>
    <x v="3"/>
    <x v="3"/>
    <x v="0"/>
    <s v="John Conley"/>
    <s v="2022-01-30"/>
    <x v="2"/>
    <x v="2"/>
    <x v="39"/>
    <s v="C"/>
    <n v="2276"/>
    <s v="Health + Dental"/>
    <n v="5"/>
    <n v="1"/>
    <s v="None"/>
    <x v="1"/>
    <s v="Advanced Training"/>
  </r>
  <r>
    <n v="1955"/>
    <x v="39"/>
    <x v="0"/>
    <n v="58"/>
    <x v="3"/>
    <x v="2"/>
    <x v="2"/>
    <x v="1"/>
    <s v="Aaron Baker"/>
    <s v="2017-04-20"/>
    <x v="1"/>
    <x v="2"/>
    <x v="40"/>
    <s v="A"/>
    <n v="2825"/>
    <s v="Health"/>
    <n v="15"/>
    <n v="3"/>
    <s v="None"/>
    <x v="4"/>
    <s v="Advanced Training"/>
  </r>
  <r>
    <n v="4522"/>
    <x v="40"/>
    <x v="0"/>
    <n v="36"/>
    <x v="2"/>
    <x v="0"/>
    <x v="4"/>
    <x v="0"/>
    <s v="Christopher Bass"/>
    <s v="2019-07-22"/>
    <x v="1"/>
    <x v="1"/>
    <x v="41"/>
    <s v="A"/>
    <n v="1670"/>
    <s v="None"/>
    <n v="0"/>
    <n v="2"/>
    <s v="Excel Workshop"/>
    <x v="3"/>
    <s v="None"/>
  </r>
  <r>
    <n v="3078"/>
    <x v="41"/>
    <x v="0"/>
    <n v="21"/>
    <x v="0"/>
    <x v="0"/>
    <x v="0"/>
    <x v="4"/>
    <s v="Sean Tucker PhD"/>
    <s v="2018-11-29"/>
    <x v="1"/>
    <x v="2"/>
    <x v="42"/>
    <s v="A"/>
    <n v="4428"/>
    <s v="Health + Dental"/>
    <n v="0"/>
    <n v="1"/>
    <s v="None"/>
    <x v="3"/>
    <s v="Certified Professional"/>
  </r>
  <r>
    <n v="6357"/>
    <x v="42"/>
    <x v="0"/>
    <n v="46"/>
    <x v="4"/>
    <x v="2"/>
    <x v="1"/>
    <x v="4"/>
    <s v="Jacob Scott"/>
    <s v="2022-11-14"/>
    <x v="1"/>
    <x v="2"/>
    <x v="43"/>
    <s v="B"/>
    <n v="4396"/>
    <s v="None"/>
    <n v="5"/>
    <n v="1"/>
    <s v="None"/>
    <x v="3"/>
    <s v="None"/>
  </r>
  <r>
    <n v="7951"/>
    <x v="43"/>
    <x v="0"/>
    <n v="36"/>
    <x v="2"/>
    <x v="3"/>
    <x v="2"/>
    <x v="4"/>
    <s v="Joel Park"/>
    <s v="2016-02-23"/>
    <x v="1"/>
    <x v="0"/>
    <x v="44"/>
    <s v="A"/>
    <n v="1168"/>
    <s v="None"/>
    <n v="9"/>
    <n v="2"/>
    <s v="Excel Workshop"/>
    <x v="0"/>
    <s v="Certified Professional"/>
  </r>
  <r>
    <n v="9228"/>
    <x v="44"/>
    <x v="1"/>
    <n v="41"/>
    <x v="2"/>
    <x v="4"/>
    <x v="3"/>
    <x v="1"/>
    <s v="Russell Marshall"/>
    <s v="2018-05-18"/>
    <x v="2"/>
    <x v="1"/>
    <x v="45"/>
    <s v="A"/>
    <n v="7111"/>
    <s v="Health"/>
    <n v="8"/>
    <n v="4"/>
    <s v="Leadership Training"/>
    <x v="3"/>
    <s v="None"/>
  </r>
  <r>
    <n v="8988"/>
    <x v="45"/>
    <x v="1"/>
    <n v="25"/>
    <x v="0"/>
    <x v="0"/>
    <x v="2"/>
    <x v="2"/>
    <s v="James Holden"/>
    <s v="2024-03-09"/>
    <x v="2"/>
    <x v="1"/>
    <x v="46"/>
    <s v="D"/>
    <n v="9497"/>
    <s v="Health"/>
    <n v="7"/>
    <n v="2"/>
    <s v="None"/>
    <x v="3"/>
    <s v="Advanced Training"/>
  </r>
  <r>
    <n v="1952"/>
    <x v="46"/>
    <x v="0"/>
    <n v="29"/>
    <x v="1"/>
    <x v="4"/>
    <x v="0"/>
    <x v="1"/>
    <s v="Thomas Murphy"/>
    <s v="2024-03-27"/>
    <x v="0"/>
    <x v="2"/>
    <x v="47"/>
    <s v="A"/>
    <n v="9591"/>
    <s v="Health + Dental"/>
    <n v="18"/>
    <n v="3"/>
    <s v="Leadership Training"/>
    <x v="3"/>
    <s v="None"/>
  </r>
  <r>
    <n v="5760"/>
    <x v="47"/>
    <x v="0"/>
    <n v="59"/>
    <x v="3"/>
    <x v="2"/>
    <x v="1"/>
    <x v="0"/>
    <s v="Mark Abbott"/>
    <s v="2019-12-23"/>
    <x v="0"/>
    <x v="1"/>
    <x v="48"/>
    <s v="D"/>
    <n v="6996"/>
    <s v="Health + Dental"/>
    <n v="16"/>
    <n v="1"/>
    <s v="Excel Workshop"/>
    <x v="0"/>
    <s v="Certified Professional"/>
  </r>
  <r>
    <n v="5742"/>
    <x v="48"/>
    <x v="0"/>
    <n v="27"/>
    <x v="1"/>
    <x v="0"/>
    <x v="2"/>
    <x v="3"/>
    <s v="Robin Lynch"/>
    <s v="2016-08-25"/>
    <x v="0"/>
    <x v="1"/>
    <x v="16"/>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054D94-DCD9-4182-AA00-D07D802543AB}" name="Employ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h="1" x="0"/>
        <item x="1"/>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59526-FECE-4C10-A36C-03D550E8C9C0}" name="Age Ran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4:L11" firstHeaderRow="1" firstDataRow="2"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pivotField axis="axisRow" showAll="0">
      <items count="6">
        <item x="0"/>
        <item x="1"/>
        <item x="2"/>
        <item x="4"/>
        <item x="3"/>
        <item t="default"/>
      </items>
    </pivotField>
    <pivotField showAll="0"/>
    <pivotField showAll="0">
      <items count="6">
        <item x="4"/>
        <item x="1"/>
        <item x="3"/>
        <item x="2"/>
        <item x="0"/>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1">
    <format dxfId="23">
      <pivotArea type="all" dataOnly="0" outline="0" fieldPosition="0"/>
    </format>
  </format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1E775F-5B7C-4E02-8761-0FFC9735DF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Y4:Z10" firstHeaderRow="1" firstDataRow="1" firstDataCol="1"/>
  <pivotFields count="21">
    <pivotField showAll="0"/>
    <pivotField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h="1" x="0"/>
        <item x="1"/>
        <item t="default"/>
      </items>
    </pivotField>
    <pivotField showAll="0"/>
    <pivotField showAll="0">
      <items count="6">
        <item x="0"/>
        <item x="1"/>
        <item x="2"/>
        <item x="4"/>
        <item x="3"/>
        <item t="default"/>
      </items>
    </pivotField>
    <pivotField showAll="0">
      <items count="6">
        <item x="1"/>
        <item x="0"/>
        <item x="4"/>
        <item x="3"/>
        <item x="2"/>
        <item t="default"/>
      </items>
    </pivotField>
    <pivotField showAll="0">
      <items count="6">
        <item x="4"/>
        <item x="1"/>
        <item x="3"/>
        <item x="2"/>
        <item x="0"/>
        <item t="default"/>
      </items>
    </pivotField>
    <pivotField axis="axisRow"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6">
        <item x="3"/>
        <item x="0"/>
        <item x="4"/>
        <item x="1"/>
        <item x="2"/>
        <item t="default"/>
      </items>
    </pivotField>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2">
    <format dxfId="25">
      <pivotArea type="all" dataOnly="0" outline="0" fieldPosition="0"/>
    </format>
    <format dxfId="24">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C9E548-99E7-47F4-B593-E865CCC40EAC}" name="work plac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4:O8"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h="1" x="0"/>
        <item x="1"/>
        <item t="default"/>
      </items>
    </pivotField>
    <pivotField showAll="0"/>
    <pivotField showAll="0">
      <items count="6">
        <item x="0"/>
        <item x="1"/>
        <item x="2"/>
        <item x="4"/>
        <item x="3"/>
        <item t="default"/>
      </items>
    </pivotField>
    <pivotField showAll="0"/>
    <pivotField showAll="0">
      <items count="6">
        <item x="4"/>
        <item x="1"/>
        <item x="3"/>
        <item x="2"/>
        <item x="0"/>
        <item t="default"/>
      </items>
    </pivotField>
    <pivotField showAll="0"/>
    <pivotField showAll="0"/>
    <pivotField showAll="0"/>
    <pivotField showAll="0">
      <items count="4">
        <item x="1"/>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1">
    <format dxfId="2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301007-97D4-4D1F-ABBD-F8AD2B85CB63}" name="Reg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4:W10"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h="1" x="0"/>
        <item x="1"/>
        <item t="default"/>
      </items>
    </pivotField>
    <pivotField showAll="0"/>
    <pivotField showAll="0">
      <items count="6">
        <item x="0"/>
        <item x="1"/>
        <item x="2"/>
        <item x="4"/>
        <item x="3"/>
        <item t="default"/>
      </items>
    </pivotField>
    <pivotField axis="axisRow" showAll="0">
      <items count="6">
        <item x="1"/>
        <item x="0"/>
        <item x="4"/>
        <item x="3"/>
        <item x="2"/>
        <item t="default"/>
      </items>
    </pivotField>
    <pivotField showAll="0">
      <items count="6">
        <item x="4"/>
        <item x="1"/>
        <item x="3"/>
        <item x="2"/>
        <item x="0"/>
        <item t="default"/>
      </items>
    </pivotField>
    <pivotField showAll="0"/>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5"/>
  </rowFields>
  <rowItems count="6">
    <i>
      <x/>
    </i>
    <i>
      <x v="1"/>
    </i>
    <i>
      <x v="2"/>
    </i>
    <i>
      <x v="3"/>
    </i>
    <i>
      <x v="4"/>
    </i>
    <i t="grand">
      <x/>
    </i>
  </rowItems>
  <colItems count="1">
    <i/>
  </colItems>
  <dataFields count="1">
    <dataField name="Count of Full Name" fld="1" subtotal="count" baseField="0" baseItem="0"/>
  </dataFields>
  <formats count="1">
    <format dxfId="2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FB1EAC-792A-453E-A9B8-036FD6487D54}"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G6" firstHeaderRow="0" firstDataRow="1" firstDataCol="1"/>
  <pivotFields count="21">
    <pivotField showAll="0"/>
    <pivotField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h="1" x="0"/>
        <item x="1"/>
        <item t="default"/>
      </items>
    </pivotField>
    <pivotField showAll="0"/>
    <pivotField showAll="0"/>
    <pivotField showAll="0"/>
    <pivotField axis="axisRow" showAll="0">
      <items count="6">
        <item x="4"/>
        <item x="1"/>
        <item x="3"/>
        <item x="2"/>
        <item x="0"/>
        <item t="default"/>
      </items>
    </pivotField>
    <pivotField showAll="0">
      <items count="6">
        <item h="1" x="0"/>
        <item h="1" x="1"/>
        <item x="4"/>
        <item h="1" x="2"/>
        <item h="1" x="3"/>
        <item t="default"/>
      </items>
    </pivotField>
    <pivotField showAll="0"/>
    <pivotField showAll="0"/>
    <pivotField showAll="0">
      <items count="4">
        <item x="1"/>
        <item x="0"/>
        <item x="2"/>
        <item t="default"/>
      </items>
    </pivotField>
    <pivotField showAll="0"/>
    <pivotField dataField="1" showAll="0">
      <items count="50">
        <item x="35"/>
        <item x="12"/>
        <item x="18"/>
        <item x="14"/>
        <item x="16"/>
        <item x="38"/>
        <item x="48"/>
        <item x="25"/>
        <item x="24"/>
        <item x="45"/>
        <item x="41"/>
        <item x="22"/>
        <item x="47"/>
        <item x="4"/>
        <item x="26"/>
        <item x="40"/>
        <item x="19"/>
        <item x="31"/>
        <item x="43"/>
        <item x="28"/>
        <item x="0"/>
        <item x="32"/>
        <item x="2"/>
        <item x="27"/>
        <item x="10"/>
        <item x="42"/>
        <item x="6"/>
        <item x="3"/>
        <item x="23"/>
        <item x="13"/>
        <item x="21"/>
        <item x="39"/>
        <item x="34"/>
        <item x="17"/>
        <item x="37"/>
        <item x="11"/>
        <item x="8"/>
        <item x="30"/>
        <item x="20"/>
        <item x="9"/>
        <item x="1"/>
        <item x="46"/>
        <item x="36"/>
        <item x="33"/>
        <item x="5"/>
        <item x="15"/>
        <item x="7"/>
        <item x="44"/>
        <item x="29"/>
        <item t="default"/>
      </items>
    </pivotField>
    <pivotField showAll="0"/>
    <pivotField showAll="0"/>
    <pivotField showAll="0"/>
    <pivotField dataField="1" showAll="0"/>
    <pivotField showAll="0"/>
    <pivotField showAll="0"/>
    <pivotField showAll="0"/>
    <pivotField showAll="0"/>
  </pivotFields>
  <rowFields count="1">
    <field x="6"/>
  </rowFields>
  <rowItems count="2">
    <i>
      <x v="1"/>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CFB551-BF33-4E30-B8B9-21D6CBAE25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4:T10"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h="1" x="0"/>
        <item x="1"/>
        <item t="default"/>
      </items>
    </pivotField>
    <pivotField showAll="0"/>
    <pivotField showAll="0">
      <items count="6">
        <item x="0"/>
        <item x="1"/>
        <item x="2"/>
        <item x="4"/>
        <item x="3"/>
        <item t="default"/>
      </items>
    </pivotField>
    <pivotField showAll="0"/>
    <pivotField showAll="0">
      <items count="6">
        <item x="4"/>
        <item x="1"/>
        <item x="3"/>
        <item x="2"/>
        <item x="0"/>
        <item t="default"/>
      </items>
    </pivotField>
    <pivotField showAll="0"/>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formats count="1">
    <format dxfId="2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E9D191B-A6F7-460B-AD21-F4B265229BB4}" sourceName="Department">
  <pivotTables>
    <pivotTable tabId="3" name="Salaries"/>
  </pivotTables>
  <data>
    <tabular pivotCacheId="462827126">
      <items count="5">
        <i x="0"/>
        <i x="1"/>
        <i x="4"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99309F8-B5EF-49FF-BEF6-DE434015553D}" sourceName="Gender">
  <pivotTables>
    <pivotTable tabId="3" name="Salaries"/>
    <pivotTable tabId="3" name="Employment status"/>
    <pivotTable tabId="3" name="PivotTable1"/>
    <pivotTable tabId="3" name="PivotTable5"/>
    <pivotTable tabId="3" name="Regions"/>
    <pivotTable tabId="3" name="work place "/>
  </pivotTables>
  <data>
    <tabular pivotCacheId="462827126">
      <items count="2">
        <i x="0"/>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6152B9C-E452-43CC-81BA-05AAAFF59BCB}" cache="Slicer_Department" caption="Department" style="Slicer Style 1" rowHeight="247650"/>
  <slicer name="Gender" xr10:uid="{71F6D8E9-EF73-4DB9-86C0-F77338C8B3BE}" cache="Slicer_Gender" caption="Gender"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2" dataDxfId="21">
  <autoFilter ref="A1:U51" xr:uid="{BD7F130C-4931-4EC9-8AE2-A64F6556D3A3}"/>
  <tableColumns count="21">
    <tableColumn id="1" xr3:uid="{6BDBB43D-1DF4-4FF3-9C56-0E3D699A83FC}" name="Employee ID" dataDxfId="20"/>
    <tableColumn id="2" xr3:uid="{363D91B7-21AD-4B4B-86DE-95D24769EAA5}" name="Full Name" dataDxfId="19"/>
    <tableColumn id="3" xr3:uid="{728245EC-9766-45F5-9851-7FEFEFBE2652}" name="Gender" dataDxfId="18"/>
    <tableColumn id="4" xr3:uid="{DD8A90D1-163F-4B0E-A039-9E7A16AFC106}" name="Age" dataDxfId="17"/>
    <tableColumn id="5" xr3:uid="{0672993B-A00D-49AE-84B7-674089468A17}" name="Age range" dataDxfId="16"/>
    <tableColumn id="6" xr3:uid="{B1ADEE80-60F1-4EE3-B3FB-8484EE6C17B3}" name="Region" dataDxfId="15"/>
    <tableColumn id="7" xr3:uid="{8E0A56EE-3456-4513-ADA0-27F6CAA8C17B}" name="Job Title" dataDxfId="14"/>
    <tableColumn id="8" xr3:uid="{0D9D5DB9-01CB-4300-B0CD-256901621ADC}" name="Department" dataDxfId="13"/>
    <tableColumn id="9" xr3:uid="{9EBDAC3F-6A39-4A78-B562-848691EE3AD1}" name="Manager/Supervisor" dataDxfId="12"/>
    <tableColumn id="10" xr3:uid="{AF849F24-150A-4123-B3F8-A46B4D4F7BC6}" name="Date of Hire" dataDxfId="11"/>
    <tableColumn id="11" xr3:uid="{8C57202E-334A-462A-9C44-E5E2468122E4}" name="Employment Status" dataDxfId="10"/>
    <tableColumn id="12" xr3:uid="{8A07812C-245C-4D55-A210-3AE7E0BB84EB}" name="Work Location" dataDxfId="9"/>
    <tableColumn id="13" xr3:uid="{6441036C-01DD-4130-8E4B-DBA441BCB744}" name="Salary" dataDxfId="8"/>
    <tableColumn id="14" xr3:uid="{ADCF531A-A98E-422C-939D-04D58C2423FB}" name="Pay Grade" dataDxfId="7"/>
    <tableColumn id="15" xr3:uid="{DE922695-AE31-4F31-8F89-61E6E7E646AB}" name="Bonus/Allowances" dataDxfId="6"/>
    <tableColumn id="16" xr3:uid="{62F2B816-9954-4A01-AEDC-4C13B3A2A52F}" name="Insurance Details" dataDxfId="5"/>
    <tableColumn id="17" xr3:uid="{6EFEC335-9B75-45D5-B403-A8A9E557BE24}" name="Leave Taken" dataDxfId="4"/>
    <tableColumn id="18" xr3:uid="{9DA1B78E-154E-42E4-A1BC-FE1CF363DCBA}" name="Performance Rating" dataDxfId="3"/>
    <tableColumn id="19" xr3:uid="{7E4B5E79-5639-4E3A-91A1-D1D8767BB705}" name="Training Programs Attended" dataDxfId="2"/>
    <tableColumn id="20" xr3:uid="{2E731344-8C6D-4001-9E36-F16B80500F61}" name="Skills" dataDxfId="1"/>
    <tableColumn id="21" xr3:uid="{9DCE550B-F788-4423-B330-CAB70C041DFC}" name="Certification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A0EB1-D765-4E77-949F-83CA68849314}">
  <sheetPr>
    <tabColor rgb="FF00B050"/>
  </sheetPr>
  <dimension ref="U24"/>
  <sheetViews>
    <sheetView tabSelected="1" workbookViewId="0">
      <selection activeCell="W1" sqref="W1"/>
    </sheetView>
  </sheetViews>
  <sheetFormatPr defaultRowHeight="14.4"/>
  <cols>
    <col min="1" max="16384" width="8.88671875" style="16"/>
  </cols>
  <sheetData>
    <row r="24" spans="21:21">
      <c r="U24" s="15"/>
    </row>
  </sheetData>
  <sheetProtection algorithmName="SHA-512" hashValue="9PXIEm5w9AoYTsYgHfKMtx5J4FOVMW5kCnAbUMy9hi7RjR77w4qcSxHhGcPt0M0yOmCUgkfKhpu5UMqBn0f4XQ==" saltValue="M2+Hbzd4pSQ/Y4MBs1hJWw==" spinCount="100000" sheet="1" formatCells="0" formatColumns="0" formatRows="0" insertColumns="0" insertRows="0" insertHyperlinks="0" deleteColumns="0" deleteRows="0"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9CBC-8696-4204-94BD-8809A9089AFC}">
  <sheetPr>
    <tabColor rgb="FFFFFF00"/>
  </sheetPr>
  <dimension ref="B2:Z22"/>
  <sheetViews>
    <sheetView showGridLines="0" zoomScale="50" zoomScaleNormal="50" workbookViewId="0">
      <selection activeCell="T47" sqref="T47"/>
    </sheetView>
  </sheetViews>
  <sheetFormatPr defaultRowHeight="14.4"/>
  <cols>
    <col min="1" max="1" width="8.6640625" customWidth="1"/>
    <col min="2" max="2" width="19.21875" bestFit="1" customWidth="1"/>
    <col min="3" max="3" width="24.5546875" bestFit="1" customWidth="1"/>
    <col min="4" max="4" width="7.109375" customWidth="1"/>
    <col min="5" max="5" width="19.21875" bestFit="1" customWidth="1"/>
    <col min="6" max="6" width="17.6640625" bestFit="1" customWidth="1"/>
    <col min="7" max="7" width="25.44140625" bestFit="1" customWidth="1"/>
    <col min="8" max="8" width="5.6640625" customWidth="1"/>
    <col min="9" max="9" width="16.6640625" bestFit="1" customWidth="1"/>
    <col min="10" max="10" width="15.5546875" bestFit="1" customWidth="1"/>
    <col min="11" max="11" width="8.109375" bestFit="1" customWidth="1"/>
    <col min="12" max="12" width="15.44140625" bestFit="1" customWidth="1"/>
    <col min="13" max="13" width="4.6640625" customWidth="1"/>
    <col min="14" max="14" width="23.6640625" bestFit="1" customWidth="1"/>
    <col min="15" max="15" width="24.5546875" bestFit="1" customWidth="1"/>
    <col min="16" max="16" width="5" bestFit="1" customWidth="1"/>
    <col min="17" max="17" width="5.109375" customWidth="1"/>
    <col min="18" max="18" width="5.21875" customWidth="1"/>
    <col min="19" max="19" width="23.6640625" bestFit="1" customWidth="1"/>
    <col min="20" max="20" width="24.5546875" bestFit="1" customWidth="1"/>
    <col min="21" max="21" width="5.5546875" customWidth="1"/>
    <col min="22" max="22" width="23.6640625" bestFit="1" customWidth="1"/>
    <col min="23" max="23" width="24.5546875" bestFit="1" customWidth="1"/>
    <col min="24" max="24" width="8.88671875" customWidth="1"/>
    <col min="25" max="25" width="23.6640625" bestFit="1" customWidth="1"/>
    <col min="26" max="26" width="39" bestFit="1" customWidth="1"/>
    <col min="27" max="27" width="10.109375" bestFit="1" customWidth="1"/>
    <col min="28" max="28" width="9.109375" bestFit="1" customWidth="1"/>
    <col min="29" max="30" width="13.5546875" bestFit="1" customWidth="1"/>
    <col min="31" max="31" width="10.5546875" bestFit="1" customWidth="1"/>
    <col min="32" max="32" width="11.33203125" bestFit="1" customWidth="1"/>
    <col min="33" max="33" width="10.33203125" bestFit="1" customWidth="1"/>
    <col min="34" max="34" width="12.5546875" bestFit="1" customWidth="1"/>
    <col min="35" max="35" width="12.44140625" bestFit="1" customWidth="1"/>
    <col min="36" max="36" width="13.77734375" bestFit="1" customWidth="1"/>
    <col min="37" max="37" width="14.109375" bestFit="1" customWidth="1"/>
    <col min="38" max="38" width="14.44140625" bestFit="1" customWidth="1"/>
    <col min="39" max="39" width="14.5546875" bestFit="1" customWidth="1"/>
    <col min="40" max="40" width="16.33203125" bestFit="1" customWidth="1"/>
    <col min="41" max="41" width="8.44140625" bestFit="1" customWidth="1"/>
    <col min="42" max="42" width="11.6640625" bestFit="1" customWidth="1"/>
    <col min="43" max="43" width="13.44140625" bestFit="1" customWidth="1"/>
    <col min="44" max="44" width="11.44140625" bestFit="1" customWidth="1"/>
    <col min="45" max="45" width="14.44140625" bestFit="1" customWidth="1"/>
    <col min="46" max="46" width="15.109375" bestFit="1" customWidth="1"/>
    <col min="47" max="47" width="11.88671875" bestFit="1" customWidth="1"/>
    <col min="48" max="48" width="14" bestFit="1" customWidth="1"/>
    <col min="49" max="49" width="13.88671875" bestFit="1" customWidth="1"/>
    <col min="50" max="50" width="14.5546875" bestFit="1" customWidth="1"/>
    <col min="51" max="51" width="11.21875" bestFit="1" customWidth="1"/>
    <col min="52" max="52" width="12.88671875" bestFit="1" customWidth="1"/>
    <col min="53" max="53" width="10.5546875" bestFit="1" customWidth="1"/>
  </cols>
  <sheetData>
    <row r="2" spans="2:26" ht="18">
      <c r="B2" s="18" t="s">
        <v>218</v>
      </c>
      <c r="C2" s="18"/>
      <c r="E2" s="18" t="s">
        <v>221</v>
      </c>
      <c r="F2" s="18"/>
      <c r="G2" s="6"/>
      <c r="I2" s="19" t="s">
        <v>222</v>
      </c>
      <c r="J2" s="19"/>
      <c r="K2" s="19"/>
      <c r="L2" s="19"/>
      <c r="N2" s="20" t="s">
        <v>224</v>
      </c>
      <c r="O2" s="20"/>
      <c r="S2" s="21" t="s">
        <v>19</v>
      </c>
      <c r="T2" s="21"/>
      <c r="V2" s="17" t="s">
        <v>226</v>
      </c>
      <c r="W2" s="17"/>
      <c r="Y2" s="17" t="s">
        <v>228</v>
      </c>
      <c r="Z2" s="17"/>
    </row>
    <row r="3" spans="2:26" ht="18">
      <c r="B3" s="18"/>
      <c r="C3" s="18"/>
      <c r="E3" s="18"/>
      <c r="F3" s="18"/>
      <c r="G3" s="6"/>
      <c r="I3" s="19"/>
      <c r="J3" s="19"/>
      <c r="K3" s="19"/>
      <c r="L3" s="19"/>
      <c r="N3" s="20"/>
      <c r="O3" s="20"/>
      <c r="S3" s="21"/>
      <c r="T3" s="21"/>
      <c r="V3" s="17"/>
      <c r="W3" s="17"/>
      <c r="Y3" s="17"/>
      <c r="Z3" s="17"/>
    </row>
    <row r="4" spans="2:26">
      <c r="B4" s="4" t="s">
        <v>214</v>
      </c>
      <c r="C4" t="s">
        <v>217</v>
      </c>
      <c r="E4" s="4" t="s">
        <v>214</v>
      </c>
      <c r="F4" t="s">
        <v>220</v>
      </c>
      <c r="G4" t="s">
        <v>225</v>
      </c>
      <c r="I4" s="8" t="s">
        <v>217</v>
      </c>
      <c r="J4" s="8" t="s">
        <v>216</v>
      </c>
      <c r="K4" s="7"/>
      <c r="L4" s="7"/>
      <c r="N4" s="8" t="s">
        <v>214</v>
      </c>
      <c r="O4" s="7" t="s">
        <v>217</v>
      </c>
      <c r="S4" s="8" t="s">
        <v>214</v>
      </c>
      <c r="T4" s="7" t="s">
        <v>217</v>
      </c>
      <c r="V4" s="8" t="s">
        <v>214</v>
      </c>
      <c r="W4" s="7" t="s">
        <v>217</v>
      </c>
      <c r="Y4" s="8" t="s">
        <v>214</v>
      </c>
      <c r="Z4" s="7" t="s">
        <v>227</v>
      </c>
    </row>
    <row r="5" spans="2:26">
      <c r="B5" s="5" t="s">
        <v>63</v>
      </c>
      <c r="C5">
        <v>8</v>
      </c>
      <c r="E5" s="5" t="s">
        <v>40</v>
      </c>
      <c r="F5">
        <v>32877</v>
      </c>
      <c r="G5">
        <v>11</v>
      </c>
      <c r="I5" s="8" t="s">
        <v>214</v>
      </c>
      <c r="J5" s="7" t="s">
        <v>22</v>
      </c>
      <c r="K5" s="7" t="s">
        <v>37</v>
      </c>
      <c r="L5" s="7" t="s">
        <v>215</v>
      </c>
      <c r="N5" s="7" t="s">
        <v>44</v>
      </c>
      <c r="O5" s="7">
        <v>12</v>
      </c>
      <c r="S5" s="7" t="s">
        <v>75</v>
      </c>
      <c r="T5" s="7">
        <v>5</v>
      </c>
      <c r="V5" s="7" t="s">
        <v>39</v>
      </c>
      <c r="W5" s="7">
        <v>9</v>
      </c>
      <c r="Y5" s="7" t="s">
        <v>26</v>
      </c>
      <c r="Z5" s="12">
        <v>3</v>
      </c>
    </row>
    <row r="6" spans="2:26">
      <c r="B6" s="5" t="s">
        <v>29</v>
      </c>
      <c r="C6">
        <v>8</v>
      </c>
      <c r="E6" s="5" t="s">
        <v>215</v>
      </c>
      <c r="F6">
        <v>32877</v>
      </c>
      <c r="G6">
        <v>11</v>
      </c>
      <c r="I6" s="7" t="s">
        <v>23</v>
      </c>
      <c r="J6" s="7">
        <v>6</v>
      </c>
      <c r="K6" s="7">
        <v>3</v>
      </c>
      <c r="L6" s="7">
        <v>9</v>
      </c>
      <c r="N6" s="7" t="s">
        <v>30</v>
      </c>
      <c r="O6" s="7">
        <v>2</v>
      </c>
      <c r="S6" s="7" t="s">
        <v>34</v>
      </c>
      <c r="T6" s="7">
        <v>4</v>
      </c>
      <c r="V6" s="7" t="s">
        <v>24</v>
      </c>
      <c r="W6" s="7">
        <v>3</v>
      </c>
      <c r="Y6" s="7" t="s">
        <v>41</v>
      </c>
      <c r="Z6" s="12">
        <v>3.5714285714285716</v>
      </c>
    </row>
    <row r="7" spans="2:26">
      <c r="B7" s="5" t="s">
        <v>111</v>
      </c>
      <c r="C7">
        <v>8</v>
      </c>
      <c r="I7" s="7" t="s">
        <v>38</v>
      </c>
      <c r="J7" s="7">
        <v>7</v>
      </c>
      <c r="K7" s="7">
        <v>6</v>
      </c>
      <c r="L7" s="7">
        <v>13</v>
      </c>
      <c r="N7" s="7" t="s">
        <v>54</v>
      </c>
      <c r="O7" s="7">
        <v>10</v>
      </c>
      <c r="S7" s="7" t="s">
        <v>96</v>
      </c>
      <c r="T7" s="7">
        <v>5</v>
      </c>
      <c r="V7" s="7" t="s">
        <v>102</v>
      </c>
      <c r="W7" s="7">
        <v>3</v>
      </c>
      <c r="Y7" s="7" t="s">
        <v>81</v>
      </c>
      <c r="Z7" s="12">
        <v>1</v>
      </c>
    </row>
    <row r="8" spans="2:26">
      <c r="B8" s="5" t="s">
        <v>215</v>
      </c>
      <c r="C8">
        <v>24</v>
      </c>
      <c r="I8" s="7" t="s">
        <v>59</v>
      </c>
      <c r="J8" s="7">
        <v>5</v>
      </c>
      <c r="K8" s="7">
        <v>7</v>
      </c>
      <c r="L8" s="7">
        <v>12</v>
      </c>
      <c r="N8" s="7" t="s">
        <v>215</v>
      </c>
      <c r="O8" s="7">
        <v>24</v>
      </c>
      <c r="S8" s="7" t="s">
        <v>56</v>
      </c>
      <c r="T8" s="7">
        <v>4</v>
      </c>
      <c r="V8" s="7" t="s">
        <v>80</v>
      </c>
      <c r="W8" s="7">
        <v>5</v>
      </c>
      <c r="Y8" s="7" t="s">
        <v>51</v>
      </c>
      <c r="Z8" s="12">
        <v>2.4</v>
      </c>
    </row>
    <row r="9" spans="2:26">
      <c r="I9" s="7" t="s">
        <v>98</v>
      </c>
      <c r="J9" s="7">
        <v>4</v>
      </c>
      <c r="K9" s="7">
        <v>3</v>
      </c>
      <c r="L9" s="7">
        <v>7</v>
      </c>
      <c r="S9" s="7" t="s">
        <v>66</v>
      </c>
      <c r="T9" s="7">
        <v>6</v>
      </c>
      <c r="V9" s="7" t="s">
        <v>49</v>
      </c>
      <c r="W9" s="7">
        <v>4</v>
      </c>
      <c r="Y9" s="7" t="s">
        <v>60</v>
      </c>
      <c r="Z9" s="12">
        <v>2.8</v>
      </c>
    </row>
    <row r="10" spans="2:26">
      <c r="B10" s="5" t="s">
        <v>63</v>
      </c>
      <c r="C10">
        <f>IFERROR(GETPIVOTDATA("Full Name",$B$4,"Employment Status","Contract"),"0")</f>
        <v>8</v>
      </c>
      <c r="I10" s="7" t="s">
        <v>68</v>
      </c>
      <c r="J10" s="7">
        <v>4</v>
      </c>
      <c r="K10" s="7">
        <v>5</v>
      </c>
      <c r="L10" s="7">
        <v>9</v>
      </c>
      <c r="N10" s="7" t="s">
        <v>44</v>
      </c>
      <c r="O10">
        <f>VLOOKUP(N10,N5:O7,2,0)</f>
        <v>12</v>
      </c>
      <c r="P10" s="10">
        <f>O10/GETPIVOTDATA("Full Name",$N$4)</f>
        <v>0.5</v>
      </c>
      <c r="Q10" s="11">
        <f>1-P10</f>
        <v>0.5</v>
      </c>
      <c r="S10" s="7" t="s">
        <v>215</v>
      </c>
      <c r="T10" s="7">
        <v>24</v>
      </c>
      <c r="V10" s="7" t="s">
        <v>215</v>
      </c>
      <c r="W10" s="7">
        <v>24</v>
      </c>
      <c r="Y10" s="7" t="s">
        <v>215</v>
      </c>
      <c r="Z10" s="7">
        <v>2.9166666666666665</v>
      </c>
    </row>
    <row r="11" spans="2:26">
      <c r="B11" s="5" t="s">
        <v>29</v>
      </c>
      <c r="C11">
        <f>IFERROR(GETPIVOTDATA("Full Name",$B$4,"Employment Status","Full-Time"),"0")</f>
        <v>8</v>
      </c>
      <c r="I11" s="7" t="s">
        <v>215</v>
      </c>
      <c r="J11" s="7">
        <v>26</v>
      </c>
      <c r="K11" s="7">
        <v>24</v>
      </c>
      <c r="L11" s="7">
        <v>50</v>
      </c>
      <c r="N11" s="7" t="s">
        <v>30</v>
      </c>
      <c r="O11">
        <f>VLOOKUP(N11,N6:O8,2,0)</f>
        <v>2</v>
      </c>
      <c r="P11" s="10">
        <f>O11/GETPIVOTDATA("Full Name",$N$4)</f>
        <v>8.3333333333333329E-2</v>
      </c>
      <c r="Q11" s="11">
        <f>1-P11</f>
        <v>0.91666666666666663</v>
      </c>
    </row>
    <row r="12" spans="2:26">
      <c r="B12" s="5" t="s">
        <v>111</v>
      </c>
      <c r="C12">
        <f>IFERROR(GETPIVOTDATA("Full Name",$B$4,"Employment Status","Part-Time"),"0")</f>
        <v>8</v>
      </c>
      <c r="E12" s="5" t="s">
        <v>121</v>
      </c>
      <c r="F12" t="str">
        <f>IFERROR(GETPIVOTDATA("Salary",$E$4,"Job Title","Analyst"),"0")</f>
        <v>0</v>
      </c>
      <c r="G12" t="str">
        <f>IFERROR(GETPIVOTDATA("Sum of Leave Taken",$E$4,"Job Title","Analyst"),"0")</f>
        <v>0</v>
      </c>
      <c r="N12" s="7" t="s">
        <v>54</v>
      </c>
      <c r="O12">
        <f>VLOOKUP(N12,N7:O9,2,0)</f>
        <v>10</v>
      </c>
      <c r="P12" s="10">
        <f>O12/GETPIVOTDATA("Full Name",$N$4)</f>
        <v>0.41666666666666669</v>
      </c>
      <c r="Q12" s="11">
        <f>1-P12</f>
        <v>0.58333333333333326</v>
      </c>
      <c r="S12" s="7" t="s">
        <v>75</v>
      </c>
      <c r="T12">
        <f>VLOOKUP(S12,S5:T9,2,)</f>
        <v>5</v>
      </c>
      <c r="V12" s="7" t="s">
        <v>39</v>
      </c>
      <c r="W12">
        <f>VLOOKUP(V12,V5:W9,2,)</f>
        <v>9</v>
      </c>
      <c r="Y12" s="7" t="s">
        <v>26</v>
      </c>
      <c r="Z12" s="13">
        <f>VLOOKUP(Y12,Y5:Z9,2,)</f>
        <v>3</v>
      </c>
    </row>
    <row r="13" spans="2:26">
      <c r="B13" s="5" t="s">
        <v>219</v>
      </c>
      <c r="C13">
        <f>SUM(C10:C12)</f>
        <v>24</v>
      </c>
      <c r="E13" s="5" t="s">
        <v>40</v>
      </c>
      <c r="F13">
        <f>IFERROR(GETPIVOTDATA("Salary",$E$4,"Job Title","Designer"),"0")</f>
        <v>32877</v>
      </c>
      <c r="G13">
        <f>IFERROR(GETPIVOTDATA("Sum of Leave Taken",$E$4,"Job Title","Designer"),"0")</f>
        <v>11</v>
      </c>
      <c r="I13" t="s">
        <v>23</v>
      </c>
      <c r="J13">
        <f>IFERROR(GETPIVOTDATA("Full Name",$I$4,"Age range","18-25"),"0")</f>
        <v>9</v>
      </c>
      <c r="N13" s="7" t="s">
        <v>219</v>
      </c>
      <c r="O13">
        <f>SUM(O10,O11,O12)</f>
        <v>24</v>
      </c>
      <c r="S13" s="7" t="s">
        <v>34</v>
      </c>
      <c r="T13">
        <f t="shared" ref="T13:T16" si="0">VLOOKUP(S13,S6:T10,2,)</f>
        <v>4</v>
      </c>
      <c r="V13" s="7" t="s">
        <v>24</v>
      </c>
      <c r="W13">
        <f t="shared" ref="W13:W16" si="1">VLOOKUP(V13,V6:W10,2,)</f>
        <v>3</v>
      </c>
      <c r="Y13" s="7" t="s">
        <v>41</v>
      </c>
      <c r="Z13" s="13">
        <f t="shared" ref="Z13:Z16" si="2">VLOOKUP(Y13,Y6:Z10,2,)</f>
        <v>3.5714285714285716</v>
      </c>
    </row>
    <row r="14" spans="2:26">
      <c r="E14" s="5" t="s">
        <v>72</v>
      </c>
      <c r="F14" t="str">
        <f>IFERROR(GETPIVOTDATA("Salary",$E$4,"Job Title","Developer"),"0")</f>
        <v>0</v>
      </c>
      <c r="G14" t="str">
        <f>IFERROR(GETPIVOTDATA("Sum of Leave Taken",$E$4,"Job Title","Developer"),"0")</f>
        <v>0</v>
      </c>
      <c r="I14" t="s">
        <v>38</v>
      </c>
      <c r="J14">
        <f>IFERROR(GETPIVOTDATA("Full Name",$I$4,"Age range","26-35"),"0")</f>
        <v>13</v>
      </c>
      <c r="S14" s="7" t="s">
        <v>96</v>
      </c>
      <c r="T14">
        <f t="shared" si="0"/>
        <v>5</v>
      </c>
      <c r="V14" s="7" t="s">
        <v>102</v>
      </c>
      <c r="W14">
        <f t="shared" si="1"/>
        <v>3</v>
      </c>
      <c r="Y14" s="7" t="s">
        <v>81</v>
      </c>
      <c r="Z14" s="13">
        <f t="shared" si="2"/>
        <v>1</v>
      </c>
    </row>
    <row r="15" spans="2:26">
      <c r="E15" s="5" t="s">
        <v>50</v>
      </c>
      <c r="F15" t="str">
        <f>IFERROR(GETPIVOTDATA("Salary",$E$4,"Job Title","HR Specialist"),"0")</f>
        <v>0</v>
      </c>
      <c r="G15" t="str">
        <f>IFERROR(GETPIVOTDATA("Sum of Leave Taken",$E$4,"Job Title","HR Specialist"),"0")</f>
        <v>0</v>
      </c>
      <c r="I15" t="s">
        <v>59</v>
      </c>
      <c r="J15">
        <f>IFERROR(GETPIVOTDATA("Full Name",$I$4,"Age range","36-45"),"0")</f>
        <v>12</v>
      </c>
      <c r="S15" s="7" t="s">
        <v>56</v>
      </c>
      <c r="T15">
        <f t="shared" si="0"/>
        <v>4</v>
      </c>
      <c r="V15" s="7" t="s">
        <v>80</v>
      </c>
      <c r="W15">
        <f t="shared" si="1"/>
        <v>5</v>
      </c>
      <c r="Y15" s="7" t="s">
        <v>51</v>
      </c>
      <c r="Z15" s="13">
        <f t="shared" si="2"/>
        <v>2.4</v>
      </c>
    </row>
    <row r="16" spans="2:26">
      <c r="E16" s="5" t="s">
        <v>25</v>
      </c>
      <c r="F16" t="str">
        <f>IFERROR(GETPIVOTDATA("Salary",$E$4,"Job Title","Manager"),"0")</f>
        <v>0</v>
      </c>
      <c r="G16" t="str">
        <f>IFERROR(GETPIVOTDATA("Sum of Leave Taken",$E$4,"Job Title","Manager"),"0")</f>
        <v>0</v>
      </c>
      <c r="I16" t="s">
        <v>98</v>
      </c>
      <c r="J16">
        <f>IFERROR(GETPIVOTDATA("Full Name",$I$4,"Age range","46-55"),"0")</f>
        <v>7</v>
      </c>
      <c r="S16" s="7" t="s">
        <v>66</v>
      </c>
      <c r="T16">
        <f t="shared" si="0"/>
        <v>6</v>
      </c>
      <c r="V16" s="7" t="s">
        <v>49</v>
      </c>
      <c r="W16">
        <f t="shared" si="1"/>
        <v>4</v>
      </c>
      <c r="Y16" s="7" t="s">
        <v>60</v>
      </c>
      <c r="Z16" s="13">
        <f t="shared" si="2"/>
        <v>2.8</v>
      </c>
    </row>
    <row r="17" spans="5:26">
      <c r="E17" s="5" t="s">
        <v>219</v>
      </c>
      <c r="F17">
        <f>SUM(F12:F16)</f>
        <v>32877</v>
      </c>
      <c r="G17">
        <f>SUM(G12:G16)</f>
        <v>11</v>
      </c>
      <c r="I17" t="s">
        <v>68</v>
      </c>
      <c r="J17">
        <f>IFERROR(GETPIVOTDATA("Full Name",$I$4,"Age range","56 &lt;"),"0")</f>
        <v>9</v>
      </c>
      <c r="S17" s="7" t="s">
        <v>219</v>
      </c>
      <c r="T17">
        <f>SUM(T12:T16)</f>
        <v>24</v>
      </c>
      <c r="V17" s="7" t="s">
        <v>219</v>
      </c>
      <c r="W17">
        <f>SUM(W12:W16)</f>
        <v>24</v>
      </c>
      <c r="Y17" s="7" t="s">
        <v>219</v>
      </c>
      <c r="Z17" s="14">
        <f>AVERAGE(Z12:Z16)</f>
        <v>2.5542857142857143</v>
      </c>
    </row>
    <row r="18" spans="5:26">
      <c r="I18" t="s">
        <v>219</v>
      </c>
      <c r="J18">
        <f>SUM(J13:J17)</f>
        <v>50</v>
      </c>
    </row>
    <row r="20" spans="5:26">
      <c r="I20" t="s">
        <v>223</v>
      </c>
      <c r="J20">
        <f>IFERROR(GETPIVOTDATA("Full Name",$I$4,"Gender","Male"),"0")</f>
        <v>24</v>
      </c>
      <c r="K20" s="10">
        <f>J20/GETPIVOTDATA("Full Name",$I$4)</f>
        <v>0.48</v>
      </c>
      <c r="L20" s="11">
        <f>1-K20</f>
        <v>0.52</v>
      </c>
    </row>
    <row r="21" spans="5:26">
      <c r="I21" t="s">
        <v>22</v>
      </c>
      <c r="J21">
        <f>IFERROR(GETPIVOTDATA("Full Name",$I$4,"Gender","Female"),"0")</f>
        <v>26</v>
      </c>
      <c r="K21" s="10">
        <f>J21/GETPIVOTDATA("Full Name",$I$4)</f>
        <v>0.52</v>
      </c>
      <c r="L21" s="11">
        <f>1-K21</f>
        <v>0.48</v>
      </c>
    </row>
    <row r="22" spans="5:26">
      <c r="J22" s="9"/>
      <c r="K22" s="9"/>
    </row>
  </sheetData>
  <mergeCells count="7">
    <mergeCell ref="V2:W3"/>
    <mergeCell ref="Y2:Z3"/>
    <mergeCell ref="B2:C3"/>
    <mergeCell ref="E2:F3"/>
    <mergeCell ref="I2:L3"/>
    <mergeCell ref="N2:O3"/>
    <mergeCell ref="S2:T3"/>
  </mergeCells>
  <pageMargins left="0.7" right="0.7" top="0.75" bottom="0.75" header="0.3" footer="0.3"/>
  <ignoredErrors>
    <ignoredError sqref="C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sheetPr>
    <tabColor rgb="FFFF0000"/>
  </sheetPr>
  <dimension ref="A1:U51"/>
  <sheetViews>
    <sheetView topLeftCell="B1" workbookViewId="0">
      <selection activeCell="J12" sqref="J12"/>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Dashbord</vt:lpstr>
      <vt:lpstr>Pivot Table </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santosh kannaujiya</cp:lastModifiedBy>
  <dcterms:created xsi:type="dcterms:W3CDTF">2024-12-11T17:14:33Z</dcterms:created>
  <dcterms:modified xsi:type="dcterms:W3CDTF">2026-09-13T05:00:21Z</dcterms:modified>
</cp:coreProperties>
</file>